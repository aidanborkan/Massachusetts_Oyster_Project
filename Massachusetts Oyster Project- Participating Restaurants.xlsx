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zan\Downloads\MOP\"/>
    </mc:Choice>
  </mc:AlternateContent>
  <xr:revisionPtr revIDLastSave="0" documentId="13_ncr:1_{4992ECF5-88C2-44BD-8B66-E416B24FFA85}" xr6:coauthVersionLast="47" xr6:coauthVersionMax="47" xr10:uidLastSave="{00000000-0000-0000-0000-000000000000}"/>
  <bookViews>
    <workbookView xWindow="19090" yWindow="-110" windowWidth="38620" windowHeight="21100" xr2:uid="{03C8E143-E141-4590-84AE-29DB83B79EB0}"/>
  </bookViews>
  <sheets>
    <sheet name="Massachusetts Oyster Project- P" sheetId="1" r:id="rId1"/>
  </sheets>
  <calcPr calcId="0"/>
</workbook>
</file>

<file path=xl/calcChain.xml><?xml version="1.0" encoding="utf-8"?>
<calcChain xmlns="http://schemas.openxmlformats.org/spreadsheetml/2006/main">
  <c r="G91" i="1" l="1"/>
  <c r="G92" i="1"/>
  <c r="G93" i="1"/>
  <c r="G94" i="1"/>
  <c r="G95" i="1"/>
  <c r="G96" i="1"/>
  <c r="G97" i="1"/>
  <c r="G98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" i="1"/>
</calcChain>
</file>

<file path=xl/sharedStrings.xml><?xml version="1.0" encoding="utf-8"?>
<sst xmlns="http://schemas.openxmlformats.org/spreadsheetml/2006/main" count="226" uniqueCount="177">
  <si>
    <t>WKT</t>
  </si>
  <si>
    <t>name</t>
  </si>
  <si>
    <t>Address</t>
  </si>
  <si>
    <t>description</t>
  </si>
  <si>
    <t>POINT (-69.9826952 41.8437838)</t>
  </si>
  <si>
    <t>3580 US-6</t>
  </si>
  <si>
    <t xml:space="preserve"> Eastham</t>
  </si>
  <si>
    <t xml:space="preserve"> MA 02642</t>
  </si>
  <si>
    <t>www.arnoldsrestaurant.com</t>
  </si>
  <si>
    <t>+1 508-255-2575</t>
  </si>
  <si>
    <t>POINT (-69.9639675 41.784817)</t>
  </si>
  <si>
    <t>The Barley Neck</t>
  </si>
  <si>
    <t>5 Beach Rd</t>
  </si>
  <si>
    <t xml:space="preserve"> Orleans</t>
  </si>
  <si>
    <t xml:space="preserve"> MA 02653</t>
  </si>
  <si>
    <t>barleyneck.com</t>
  </si>
  <si>
    <t>+1 508-255-0212</t>
  </si>
  <si>
    <t>POINT (-69.98516 41.944)</t>
  </si>
  <si>
    <t>Beachcomber in Wellfleet</t>
  </si>
  <si>
    <t>1120 Cahoon Hollow Rd</t>
  </si>
  <si>
    <t xml:space="preserve"> Wellfleet</t>
  </si>
  <si>
    <t xml:space="preserve"> MA 02667</t>
  </si>
  <si>
    <t>www.thebeachcomber.com</t>
  </si>
  <si>
    <t>+1 508-349-6055</t>
  </si>
  <si>
    <t>POINT (-70.032088 41.930751)</t>
  </si>
  <si>
    <t>Bookstore &amp; Restaurant</t>
  </si>
  <si>
    <t>50 Kendrick Ave</t>
  </si>
  <si>
    <t>www.wellfleetoyster.com</t>
  </si>
  <si>
    <t>+1 508-349-3154</t>
  </si>
  <si>
    <t>POINT (-70.22456199999999 41.6492464)</t>
  </si>
  <si>
    <t>Captain Parker's Pub</t>
  </si>
  <si>
    <t>668 MA-28</t>
  </si>
  <si>
    <t xml:space="preserve"> West Yarmouth</t>
  </si>
  <si>
    <t xml:space="preserve"> MA 02673</t>
  </si>
  <si>
    <t>www.captainparkers.com</t>
  </si>
  <si>
    <t>+1 508-771-4266</t>
  </si>
  <si>
    <t>POINT (-69.98570939999999 41.8522519)</t>
  </si>
  <si>
    <t>Casa del Cabo</t>
  </si>
  <si>
    <t>3 Main St #32B</t>
  </si>
  <si>
    <t>casadelcaboeastham.com</t>
  </si>
  <si>
    <t>+1 774-801-2743</t>
  </si>
  <si>
    <t>POINT (-69.9694353 41.6860075)</t>
  </si>
  <si>
    <t>Del Mar Bar &amp; Bistro</t>
  </si>
  <si>
    <t>907 Main St</t>
  </si>
  <si>
    <t xml:space="preserve"> Chatham</t>
  </si>
  <si>
    <t xml:space="preserve"> MA 02633</t>
  </si>
  <si>
    <t>www.delmarbistro.com</t>
  </si>
  <si>
    <t>+1 508-945-9988</t>
  </si>
  <si>
    <t>POINT (-69.96338530000001 41.6983533)</t>
  </si>
  <si>
    <t>Elwood's Raw Bars</t>
  </si>
  <si>
    <t>309 Orleans Rd</t>
  </si>
  <si>
    <t xml:space="preserve"> North Chatham</t>
  </si>
  <si>
    <t xml:space="preserve"> MA 02650</t>
  </si>
  <si>
    <t>elwoodsrawbars.com</t>
  </si>
  <si>
    <t>+1 508-348-9258</t>
  </si>
  <si>
    <t>POINT (-69.9842985 41.9001595)</t>
  </si>
  <si>
    <t>Mean Burgers Bar and Grille &amp; Hog Island Beer Yard</t>
  </si>
  <si>
    <t>842 US-6</t>
  </si>
  <si>
    <t>hogislandbeerco.com</t>
  </si>
  <si>
    <t>+1 508-214-0319</t>
  </si>
  <si>
    <t>POINT (-70.185352 42.05200199999999)</t>
  </si>
  <si>
    <t>The Lobster Pot</t>
  </si>
  <si>
    <t>321 Commercial St</t>
  </si>
  <si>
    <t xml:space="preserve"> Provincetown</t>
  </si>
  <si>
    <t xml:space="preserve"> MA 02657</t>
  </si>
  <si>
    <t>www.ptownlobsterpot.com</t>
  </si>
  <si>
    <t>+1 508-487-0842</t>
  </si>
  <si>
    <t>POINT (-69.9818793 41.6840591)</t>
  </si>
  <si>
    <t>Mac's Chatham Fish &amp; Lobster</t>
  </si>
  <si>
    <t>1291 Main Street Route</t>
  </si>
  <si>
    <t xml:space="preserve"> MA-28</t>
  </si>
  <si>
    <t>www.chathamfish.com</t>
  </si>
  <si>
    <t>+1 508-945-1173</t>
  </si>
  <si>
    <t>POINT (-70.1952592 42.0526721)</t>
  </si>
  <si>
    <t>Mac's Fish House Provincetown</t>
  </si>
  <si>
    <t>85 Shank Painter Rd</t>
  </si>
  <si>
    <t>www.macsseafood.com</t>
  </si>
  <si>
    <t>+1 508-487-6227</t>
  </si>
  <si>
    <t>POINT (-70.030383 41.929616)</t>
  </si>
  <si>
    <t>Mac's On the Pier</t>
  </si>
  <si>
    <t>265 Commercial St</t>
  </si>
  <si>
    <t>+1 508-349-9611</t>
  </si>
  <si>
    <t>POINT (-70.0298767 41.9348564)</t>
  </si>
  <si>
    <t>Mac's Shack</t>
  </si>
  <si>
    <t>91 Commercial St</t>
  </si>
  <si>
    <t>+1 508-349-6333</t>
  </si>
  <si>
    <t>POINT (-70.0333785 41.9477383)</t>
  </si>
  <si>
    <t>Moby Dick's Restaurant</t>
  </si>
  <si>
    <t>3225 US-6</t>
  </si>
  <si>
    <t>www.mobys.com</t>
  </si>
  <si>
    <t>+1 508-349-9795</t>
  </si>
  <si>
    <t>POINT (-70.0300694 41.93055)</t>
  </si>
  <si>
    <t>Pearl Restaurant &amp; Bar</t>
  </si>
  <si>
    <t>250 Commercial St</t>
  </si>
  <si>
    <t>www.wellfleetpearl.com</t>
  </si>
  <si>
    <t>+1 508-349-2999</t>
  </si>
  <si>
    <t>POINT (-70.2126026 41.6416427)</t>
  </si>
  <si>
    <t>The Skipper Restaurant and Chowder House</t>
  </si>
  <si>
    <t>152 S Shore Dr</t>
  </si>
  <si>
    <t xml:space="preserve"> South Yarmouth</t>
  </si>
  <si>
    <t xml:space="preserve"> MA 02664</t>
  </si>
  <si>
    <t>skipperrestaurant.com</t>
  </si>
  <si>
    <t>+1 508-394-7406</t>
  </si>
  <si>
    <t>POINT (-69.9854151 41.905133)</t>
  </si>
  <si>
    <t>1019 US-6</t>
  </si>
  <si>
    <t xml:space="preserve"> South Wellfleet</t>
  </si>
  <si>
    <t xml:space="preserve"> MA 02663</t>
  </si>
  <si>
    <t>vanrensselaers.com</t>
  </si>
  <si>
    <t>+1 508-349-2127</t>
  </si>
  <si>
    <t>POINT (-70.022751 41.938094)</t>
  </si>
  <si>
    <t>The Wicked Oyster</t>
  </si>
  <si>
    <t>50 Main St</t>
  </si>
  <si>
    <t>www.thewickedo.com</t>
  </si>
  <si>
    <t>+1 508-349-3455</t>
  </si>
  <si>
    <t>POINT (-70.0315696 41.9386027)</t>
  </si>
  <si>
    <t>Winslow's Tavern</t>
  </si>
  <si>
    <t>316 Main St</t>
  </si>
  <si>
    <t>www.winslowstavern.com</t>
  </si>
  <si>
    <t>+1 508-349-6450</t>
  </si>
  <si>
    <t>POINT (-69.9870109 41.8506876)</t>
  </si>
  <si>
    <t>Bistro 41 Restaurant &amp; Bar</t>
  </si>
  <si>
    <t>4100 State Hwy</t>
  </si>
  <si>
    <t>www.bistro41capecod.com</t>
  </si>
  <si>
    <t>+1 774-207-0606</t>
  </si>
  <si>
    <t>POINT (-69.98774139999999 41.8921338)</t>
  </si>
  <si>
    <t>The Block &amp; Tackle</t>
  </si>
  <si>
    <t>545 US-6</t>
  </si>
  <si>
    <t>www.theblockandtackle.com</t>
  </si>
  <si>
    <t>+1 774-383-3967</t>
  </si>
  <si>
    <t>POINT (-70.1838482 42.0492367)</t>
  </si>
  <si>
    <t>CERALDI</t>
  </si>
  <si>
    <t>9 Ryder St Ext</t>
  </si>
  <si>
    <t>www.ceraldicapecod.com</t>
  </si>
  <si>
    <t>+1 508-237-9811</t>
  </si>
  <si>
    <t>POINT (-69.986524 41.8927339)</t>
  </si>
  <si>
    <t>CShore Kitchen and Bar</t>
  </si>
  <si>
    <t>554 State Highway Route 6</t>
  </si>
  <si>
    <t>www.cshorewellfleet.com</t>
  </si>
  <si>
    <t>+1 508-349-7500</t>
  </si>
  <si>
    <t>POINT (-69.9869819 41.8506846)</t>
  </si>
  <si>
    <t>Brine</t>
  </si>
  <si>
    <t>POINT (-70.24723809999999 41.6403015)</t>
  </si>
  <si>
    <t>Englewood Beach</t>
  </si>
  <si>
    <t xml:space="preserve"> 199 Berry Ave</t>
  </si>
  <si>
    <t>POINT (-70.18561799999999 42.052124)</t>
  </si>
  <si>
    <t>Governor Bradford Restaurant</t>
  </si>
  <si>
    <t>312 Commercial St</t>
  </si>
  <si>
    <t>www.thegovbradford.com</t>
  </si>
  <si>
    <t>+1 508-487-2781</t>
  </si>
  <si>
    <t>POINT (-70.1693557 41.6517888)</t>
  </si>
  <si>
    <t>Lighthouse Inn</t>
  </si>
  <si>
    <t>1 Lighthouse Inn Rd</t>
  </si>
  <si>
    <t xml:space="preserve"> West Dennis</t>
  </si>
  <si>
    <t xml:space="preserve"> MA 02670</t>
  </si>
  <si>
    <t>www.lighthouseinn.com</t>
  </si>
  <si>
    <t>+1 508-398-2244</t>
  </si>
  <si>
    <t>POINT (-70.1848598 42.052385)</t>
  </si>
  <si>
    <t>The Squealing Pig Provincetown</t>
  </si>
  <si>
    <t>335 Commercial St</t>
  </si>
  <si>
    <t>www.squealingpigpubs.com</t>
  </si>
  <si>
    <t>+1 508-487-5804</t>
  </si>
  <si>
    <t>POINT (-69.9652464 41.7850058)</t>
  </si>
  <si>
    <t>www.therailorleans.com</t>
  </si>
  <si>
    <t>+1 774-561-2161</t>
  </si>
  <si>
    <t>POINT (-70.1606171 41.68489659999999)</t>
  </si>
  <si>
    <t>Wilbur Park</t>
  </si>
  <si>
    <t>440 Highbank Rd</t>
  </si>
  <si>
    <t>www.yarmouth.ma.us</t>
  </si>
  <si>
    <t>+1 508-398-2231</t>
  </si>
  <si>
    <t>Arnold's Lobster &amp; Clam Bar</t>
  </si>
  <si>
    <t>Van Rensselaer's Restaurant and Raw Bar</t>
  </si>
  <si>
    <t>Full Address</t>
  </si>
  <si>
    <t>Lat</t>
  </si>
  <si>
    <t>Lon</t>
  </si>
  <si>
    <t>(-70.185352</t>
  </si>
  <si>
    <t>The Rail Orleans</t>
  </si>
  <si>
    <t>222 Main Street, Orleans, MA, 02653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</si>
</sst>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A2C4DF"/>
      <name val="Droid Serif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8" fillId="0" borderId="0" xfId="42"/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herailorlean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A410A-31A2-4E9E-826B-362D5F6C5C1F}">
  <dimension ref="A1:I98"/>
  <sheetViews>
    <sheetView tabSelected="1" topLeftCell="A53" workbookViewId="0">
      <selection activeCell="M82" sqref="M82"/>
    </sheetView>
  </sheetViews>
  <sheetFormatPr defaultRowHeight="14.5"/>
  <cols>
    <col min="1" max="1" width="35.1796875" bestFit="1" customWidth="1"/>
    <col min="2" max="2" width="42" bestFit="1" customWidth="1"/>
    <col min="3" max="3" width="22.26953125" bestFit="1" customWidth="1"/>
    <col min="4" max="4" width="14.08984375" bestFit="1" customWidth="1"/>
    <col min="5" max="5" width="13.6328125" bestFit="1" customWidth="1"/>
    <col min="7" max="7" width="26.542968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G1" t="s">
        <v>171</v>
      </c>
      <c r="H1" t="s">
        <v>172</v>
      </c>
      <c r="I1" t="s">
        <v>173</v>
      </c>
    </row>
    <row r="2" spans="1:9" ht="29">
      <c r="A2" t="s">
        <v>4</v>
      </c>
      <c r="B2" t="s">
        <v>169</v>
      </c>
      <c r="C2" t="s">
        <v>5</v>
      </c>
      <c r="D2" t="s">
        <v>6</v>
      </c>
      <c r="E2" t="s">
        <v>7</v>
      </c>
      <c r="G2" s="1" t="str">
        <f>_xlfn.TEXTJOIN(", ", TRUE, C2, D2, TRIM(E2))</f>
        <v>3580 US-6,  Eastham, MA 02642</v>
      </c>
      <c r="H2">
        <v>41.843783799999997</v>
      </c>
      <c r="I2">
        <v>-69.982695199999995</v>
      </c>
    </row>
    <row r="3" spans="1:9">
      <c r="A3" t="s">
        <v>8</v>
      </c>
      <c r="G3" s="1" t="str">
        <f>_xlfn.TEXTJOIN(", ", TRUE, C3, D3, TRIM(E3))</f>
        <v/>
      </c>
    </row>
    <row r="4" spans="1:9">
      <c r="A4" t="s">
        <v>9</v>
      </c>
      <c r="G4" s="1" t="str">
        <f>_xlfn.TEXTJOIN(", ", TRUE, C4, D4, TRIM(E4))</f>
        <v/>
      </c>
    </row>
    <row r="5" spans="1:9">
      <c r="G5" s="1" t="str">
        <f>_xlfn.TEXTJOIN(", ", TRUE, C5, D5, TRIM(E5))</f>
        <v/>
      </c>
    </row>
    <row r="6" spans="1:9">
      <c r="G6" s="1" t="str">
        <f>_xlfn.TEXTJOIN(", ", TRUE, C6, D6, TRIM(E6))</f>
        <v/>
      </c>
    </row>
    <row r="7" spans="1:9">
      <c r="A7" t="s">
        <v>10</v>
      </c>
      <c r="B7" t="s">
        <v>11</v>
      </c>
      <c r="C7" t="s">
        <v>12</v>
      </c>
      <c r="D7" t="s">
        <v>13</v>
      </c>
      <c r="E7" t="s">
        <v>14</v>
      </c>
      <c r="G7" s="1" t="str">
        <f>_xlfn.TEXTJOIN(", ", TRUE, C7, D7, TRIM(E7))</f>
        <v>5 Beach Rd,  Orleans, MA 02653</v>
      </c>
      <c r="H7">
        <v>41.784816999999997</v>
      </c>
      <c r="I7">
        <v>-69.963967499999995</v>
      </c>
    </row>
    <row r="8" spans="1:9">
      <c r="A8" t="s">
        <v>15</v>
      </c>
      <c r="G8" s="1" t="str">
        <f>_xlfn.TEXTJOIN(", ", TRUE, C8, D8, TRIM(E8))</f>
        <v/>
      </c>
    </row>
    <row r="9" spans="1:9">
      <c r="A9" t="s">
        <v>16</v>
      </c>
      <c r="G9" s="1" t="str">
        <f>_xlfn.TEXTJOIN(", ", TRUE, C9, D9, TRIM(E9))</f>
        <v/>
      </c>
    </row>
    <row r="10" spans="1:9" ht="29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G10" s="1" t="str">
        <f>_xlfn.TEXTJOIN(", ", TRUE, C10, D10, TRIM(E10))</f>
        <v>1120 Cahoon Hollow Rd,  Wellfleet, MA 02667</v>
      </c>
      <c r="H10">
        <v>41.944000000000003</v>
      </c>
      <c r="I10">
        <v>-69.985159999999993</v>
      </c>
    </row>
    <row r="11" spans="1:9">
      <c r="A11" t="s">
        <v>22</v>
      </c>
      <c r="G11" s="1" t="str">
        <f>_xlfn.TEXTJOIN(", ", TRUE, C11, D11, TRIM(E11))</f>
        <v/>
      </c>
    </row>
    <row r="12" spans="1:9">
      <c r="A12" t="s">
        <v>23</v>
      </c>
      <c r="G12" s="1" t="str">
        <f>_xlfn.TEXTJOIN(", ", TRUE, C12, D12, TRIM(E12))</f>
        <v/>
      </c>
    </row>
    <row r="13" spans="1:9" ht="29">
      <c r="A13" t="s">
        <v>24</v>
      </c>
      <c r="B13" t="s">
        <v>25</v>
      </c>
      <c r="C13" t="s">
        <v>26</v>
      </c>
      <c r="D13" t="s">
        <v>20</v>
      </c>
      <c r="E13" t="s">
        <v>21</v>
      </c>
      <c r="G13" s="1" t="str">
        <f>_xlfn.TEXTJOIN(", ", TRUE, C13, D13, TRIM(E13))</f>
        <v>50 Kendrick Ave,  Wellfleet, MA 02667</v>
      </c>
      <c r="H13">
        <v>-70.032088000000002</v>
      </c>
      <c r="I13">
        <v>41.930751000000001</v>
      </c>
    </row>
    <row r="14" spans="1:9">
      <c r="A14" t="s">
        <v>27</v>
      </c>
      <c r="G14" s="1" t="str">
        <f>_xlfn.TEXTJOIN(", ", TRUE, C14, D14, TRIM(E14))</f>
        <v/>
      </c>
    </row>
    <row r="15" spans="1:9">
      <c r="A15" t="s">
        <v>28</v>
      </c>
      <c r="G15" s="1" t="str">
        <f>_xlfn.TEXTJOIN(", ", TRUE, C15, D15, TRIM(E15))</f>
        <v/>
      </c>
    </row>
    <row r="16" spans="1:9" ht="29">
      <c r="A16" t="s">
        <v>29</v>
      </c>
      <c r="B16" t="s">
        <v>30</v>
      </c>
      <c r="C16" t="s">
        <v>31</v>
      </c>
      <c r="D16" t="s">
        <v>32</v>
      </c>
      <c r="E16" t="s">
        <v>33</v>
      </c>
      <c r="G16" s="1" t="str">
        <f>_xlfn.TEXTJOIN(", ", TRUE, C16, D16, TRIM(E16))</f>
        <v>668 MA-28,  West Yarmouth, MA 02673</v>
      </c>
      <c r="H16">
        <v>-70.224561999999906</v>
      </c>
      <c r="I16">
        <v>41.649246400000003</v>
      </c>
    </row>
    <row r="17" spans="1:9">
      <c r="A17" t="s">
        <v>34</v>
      </c>
      <c r="G17" s="1" t="str">
        <f>_xlfn.TEXTJOIN(", ", TRUE, C17, D17, TRIM(E17))</f>
        <v/>
      </c>
    </row>
    <row r="18" spans="1:9">
      <c r="A18" t="s">
        <v>35</v>
      </c>
      <c r="G18" s="1" t="str">
        <f>_xlfn.TEXTJOIN(", ", TRUE, C18, D18, TRIM(E18))</f>
        <v/>
      </c>
    </row>
    <row r="19" spans="1:9" ht="29">
      <c r="A19" t="s">
        <v>36</v>
      </c>
      <c r="B19" t="s">
        <v>37</v>
      </c>
      <c r="C19" t="s">
        <v>38</v>
      </c>
      <c r="D19" t="s">
        <v>6</v>
      </c>
      <c r="E19" t="s">
        <v>7</v>
      </c>
      <c r="G19" s="1" t="str">
        <f>_xlfn.TEXTJOIN(", ", TRUE, C19, D19, TRIM(E19))</f>
        <v>3 Main St #32B,  Eastham, MA 02642</v>
      </c>
      <c r="H19">
        <v>-69.985709399999905</v>
      </c>
      <c r="I19">
        <v>41.852251899999999</v>
      </c>
    </row>
    <row r="20" spans="1:9">
      <c r="A20" t="s">
        <v>39</v>
      </c>
      <c r="G20" s="1" t="str">
        <f>_xlfn.TEXTJOIN(", ", TRUE, C20, D20, TRIM(E20))</f>
        <v/>
      </c>
    </row>
    <row r="21" spans="1:9">
      <c r="A21" t="s">
        <v>40</v>
      </c>
      <c r="G21" s="1" t="str">
        <f>_xlfn.TEXTJOIN(", ", TRUE, C21, D21, TRIM(E21))</f>
        <v/>
      </c>
    </row>
    <row r="22" spans="1:9" ht="29">
      <c r="A22" t="s">
        <v>41</v>
      </c>
      <c r="B22" t="s">
        <v>42</v>
      </c>
      <c r="C22" t="s">
        <v>43</v>
      </c>
      <c r="D22" t="s">
        <v>44</v>
      </c>
      <c r="E22" t="s">
        <v>45</v>
      </c>
      <c r="G22" s="1" t="str">
        <f>_xlfn.TEXTJOIN(", ", TRUE, C22, D22, TRIM(E22))</f>
        <v>907 Main St,  Chatham, MA 02633</v>
      </c>
      <c r="H22">
        <v>-69.969435300000001</v>
      </c>
      <c r="I22">
        <v>41.686007500000002</v>
      </c>
    </row>
    <row r="23" spans="1:9">
      <c r="A23" t="s">
        <v>46</v>
      </c>
      <c r="G23" s="1" t="str">
        <f>_xlfn.TEXTJOIN(", ", TRUE, C23, D23, TRIM(E23))</f>
        <v/>
      </c>
    </row>
    <row r="24" spans="1:9">
      <c r="A24" t="s">
        <v>47</v>
      </c>
      <c r="G24" s="1" t="str">
        <f>_xlfn.TEXTJOIN(", ", TRUE, C24, D24, TRIM(E24))</f>
        <v/>
      </c>
    </row>
    <row r="25" spans="1:9" ht="29">
      <c r="A25" t="s">
        <v>48</v>
      </c>
      <c r="B25" t="s">
        <v>49</v>
      </c>
      <c r="C25" t="s">
        <v>50</v>
      </c>
      <c r="D25" t="s">
        <v>51</v>
      </c>
      <c r="E25" t="s">
        <v>52</v>
      </c>
      <c r="G25" s="1" t="str">
        <f>_xlfn.TEXTJOIN(", ", TRUE, C25, D25, TRIM(E25))</f>
        <v>309 Orleans Rd,  North Chatham, MA 02650</v>
      </c>
      <c r="H25">
        <v>-69.963385299999999</v>
      </c>
      <c r="I25">
        <v>41.698353300000001</v>
      </c>
    </row>
    <row r="26" spans="1:9">
      <c r="A26" t="s">
        <v>53</v>
      </c>
      <c r="G26" s="1" t="str">
        <f>_xlfn.TEXTJOIN(", ", TRUE, C26, D26, TRIM(E26))</f>
        <v/>
      </c>
    </row>
    <row r="27" spans="1:9">
      <c r="A27" t="s">
        <v>54</v>
      </c>
      <c r="G27" s="1" t="str">
        <f>_xlfn.TEXTJOIN(", ", TRUE, C27, D27, TRIM(E27))</f>
        <v/>
      </c>
    </row>
    <row r="28" spans="1:9">
      <c r="A28" t="s">
        <v>55</v>
      </c>
      <c r="B28" t="s">
        <v>56</v>
      </c>
      <c r="C28" t="s">
        <v>57</v>
      </c>
      <c r="D28" t="s">
        <v>20</v>
      </c>
      <c r="E28" t="s">
        <v>21</v>
      </c>
      <c r="G28" s="1" t="str">
        <f>_xlfn.TEXTJOIN(", ", TRUE, C28, D28, TRIM(E28))</f>
        <v>842 US-6,  Wellfleet, MA 02667</v>
      </c>
      <c r="H28">
        <v>-69.984298499999994</v>
      </c>
      <c r="I28">
        <v>41.900159500000001</v>
      </c>
    </row>
    <row r="29" spans="1:9">
      <c r="A29" t="s">
        <v>58</v>
      </c>
      <c r="G29" s="1" t="str">
        <f>_xlfn.TEXTJOIN(", ", TRUE, C29, D29, TRIM(E29))</f>
        <v/>
      </c>
    </row>
    <row r="30" spans="1:9">
      <c r="A30" t="s">
        <v>59</v>
      </c>
      <c r="G30" s="1" t="str">
        <f>_xlfn.TEXTJOIN(", ", TRUE, C30, D30, TRIM(E30))</f>
        <v/>
      </c>
    </row>
    <row r="31" spans="1:9" ht="29">
      <c r="A31" t="s">
        <v>60</v>
      </c>
      <c r="B31" t="s">
        <v>61</v>
      </c>
      <c r="C31" t="s">
        <v>62</v>
      </c>
      <c r="D31" t="s">
        <v>63</v>
      </c>
      <c r="E31" t="s">
        <v>64</v>
      </c>
      <c r="G31" s="1" t="str">
        <f>_xlfn.TEXTJOIN(", ", TRUE, C31, D31, TRIM(E31))</f>
        <v>321 Commercial St,  Provincetown, MA 02657</v>
      </c>
      <c r="H31" t="s">
        <v>174</v>
      </c>
      <c r="I31">
        <v>42.052001999999902</v>
      </c>
    </row>
    <row r="32" spans="1:9">
      <c r="A32" t="s">
        <v>65</v>
      </c>
      <c r="G32" s="1" t="str">
        <f>_xlfn.TEXTJOIN(", ", TRUE, C32, D32, TRIM(E32))</f>
        <v/>
      </c>
    </row>
    <row r="33" spans="1:9">
      <c r="A33" t="s">
        <v>66</v>
      </c>
      <c r="G33" s="1" t="str">
        <f>_xlfn.TEXTJOIN(", ", TRUE, C33, D33, TRIM(E33))</f>
        <v/>
      </c>
    </row>
    <row r="34" spans="1:9" ht="29">
      <c r="A34" t="s">
        <v>67</v>
      </c>
      <c r="B34" t="s">
        <v>68</v>
      </c>
      <c r="C34" t="s">
        <v>69</v>
      </c>
      <c r="D34" t="s">
        <v>70</v>
      </c>
      <c r="E34" t="s">
        <v>44</v>
      </c>
      <c r="F34" t="s">
        <v>45</v>
      </c>
      <c r="G34" s="1" t="str">
        <f>_xlfn.TEXTJOIN(", ", TRUE, C34, D34, TRIM(E34))</f>
        <v>1291 Main Street Route,  MA-28, Chatham</v>
      </c>
      <c r="H34">
        <v>-69.981879300000003</v>
      </c>
      <c r="I34">
        <v>41.684059099999999</v>
      </c>
    </row>
    <row r="35" spans="1:9">
      <c r="A35" t="s">
        <v>71</v>
      </c>
      <c r="G35" s="1" t="str">
        <f>_xlfn.TEXTJOIN(", ", TRUE, C35, D35, TRIM(E35))</f>
        <v/>
      </c>
    </row>
    <row r="36" spans="1:9">
      <c r="A36" t="s">
        <v>72</v>
      </c>
      <c r="G36" s="1" t="str">
        <f>_xlfn.TEXTJOIN(", ", TRUE, C36, D36, TRIM(E36))</f>
        <v/>
      </c>
    </row>
    <row r="37" spans="1:9" ht="29">
      <c r="A37" t="s">
        <v>73</v>
      </c>
      <c r="B37" t="s">
        <v>74</v>
      </c>
      <c r="C37" t="s">
        <v>75</v>
      </c>
      <c r="D37" t="s">
        <v>63</v>
      </c>
      <c r="E37" t="s">
        <v>64</v>
      </c>
      <c r="G37" s="1" t="str">
        <f>_xlfn.TEXTJOIN(", ", TRUE, C37, D37, TRIM(E37))</f>
        <v>85 Shank Painter Rd,  Provincetown, MA 02657</v>
      </c>
      <c r="H37">
        <v>-70.195259199999995</v>
      </c>
      <c r="I37">
        <v>42.052672100000002</v>
      </c>
    </row>
    <row r="38" spans="1:9">
      <c r="A38" t="s">
        <v>76</v>
      </c>
      <c r="G38" s="1" t="str">
        <f>_xlfn.TEXTJOIN(", ", TRUE, C38, D38, TRIM(E38))</f>
        <v/>
      </c>
    </row>
    <row r="39" spans="1:9">
      <c r="A39" t="s">
        <v>77</v>
      </c>
      <c r="G39" s="1" t="str">
        <f>_xlfn.TEXTJOIN(", ", TRUE, C39, D39, TRIM(E39))</f>
        <v/>
      </c>
    </row>
    <row r="40" spans="1:9" ht="29">
      <c r="A40" t="s">
        <v>78</v>
      </c>
      <c r="B40" t="s">
        <v>79</v>
      </c>
      <c r="C40" t="s">
        <v>80</v>
      </c>
      <c r="D40" t="s">
        <v>20</v>
      </c>
      <c r="E40" t="s">
        <v>21</v>
      </c>
      <c r="G40" s="1" t="str">
        <f>_xlfn.TEXTJOIN(", ", TRUE, C40, D40, TRIM(E40))</f>
        <v>265 Commercial St,  Wellfleet, MA 02667</v>
      </c>
      <c r="H40">
        <v>-70.030383</v>
      </c>
      <c r="I40">
        <v>41.929616000000003</v>
      </c>
    </row>
    <row r="41" spans="1:9">
      <c r="A41" t="s">
        <v>76</v>
      </c>
      <c r="G41" s="1" t="str">
        <f>_xlfn.TEXTJOIN(", ", TRUE, C41, D41, TRIM(E41))</f>
        <v/>
      </c>
    </row>
    <row r="42" spans="1:9">
      <c r="A42" t="s">
        <v>81</v>
      </c>
      <c r="G42" s="1" t="str">
        <f>_xlfn.TEXTJOIN(", ", TRUE, C42, D42, TRIM(E42))</f>
        <v/>
      </c>
    </row>
    <row r="43" spans="1:9" ht="29">
      <c r="A43" t="s">
        <v>82</v>
      </c>
      <c r="B43" t="s">
        <v>83</v>
      </c>
      <c r="C43" t="s">
        <v>84</v>
      </c>
      <c r="D43" t="s">
        <v>20</v>
      </c>
      <c r="E43" t="s">
        <v>21</v>
      </c>
      <c r="G43" s="1" t="str">
        <f>_xlfn.TEXTJOIN(", ", TRUE, C43, D43, TRIM(E43))</f>
        <v>91 Commercial St,  Wellfleet, MA 02667</v>
      </c>
      <c r="H43">
        <v>-70.029876700000003</v>
      </c>
      <c r="I43">
        <v>41.934856400000001</v>
      </c>
    </row>
    <row r="44" spans="1:9">
      <c r="A44" t="s">
        <v>76</v>
      </c>
      <c r="G44" s="1" t="str">
        <f>_xlfn.TEXTJOIN(", ", TRUE, C44, D44, TRIM(E44))</f>
        <v/>
      </c>
    </row>
    <row r="45" spans="1:9">
      <c r="A45" t="s">
        <v>85</v>
      </c>
      <c r="G45" s="1" t="str">
        <f>_xlfn.TEXTJOIN(", ", TRUE, C45, D45, TRIM(E45))</f>
        <v/>
      </c>
    </row>
    <row r="46" spans="1:9" ht="29">
      <c r="A46" t="s">
        <v>86</v>
      </c>
      <c r="B46" t="s">
        <v>87</v>
      </c>
      <c r="C46" t="s">
        <v>88</v>
      </c>
      <c r="D46" t="s">
        <v>20</v>
      </c>
      <c r="E46" t="s">
        <v>21</v>
      </c>
      <c r="G46" s="1" t="str">
        <f>_xlfn.TEXTJOIN(", ", TRUE, C46, D46, TRIM(E46))</f>
        <v>3225 US-6,  Wellfleet, MA 02667</v>
      </c>
      <c r="H46">
        <v>-70.033378499999998</v>
      </c>
      <c r="I46">
        <v>41.947738299999997</v>
      </c>
    </row>
    <row r="47" spans="1:9">
      <c r="A47" t="s">
        <v>89</v>
      </c>
      <c r="G47" s="1" t="str">
        <f>_xlfn.TEXTJOIN(", ", TRUE, C47, D47, TRIM(E47))</f>
        <v/>
      </c>
    </row>
    <row r="48" spans="1:9">
      <c r="A48" t="s">
        <v>90</v>
      </c>
      <c r="G48" s="1" t="str">
        <f>_xlfn.TEXTJOIN(", ", TRUE, C48, D48, TRIM(E48))</f>
        <v/>
      </c>
    </row>
    <row r="49" spans="1:9" ht="29">
      <c r="A49" t="s">
        <v>91</v>
      </c>
      <c r="B49" t="s">
        <v>92</v>
      </c>
      <c r="C49" t="s">
        <v>93</v>
      </c>
      <c r="D49" t="s">
        <v>20</v>
      </c>
      <c r="E49" t="s">
        <v>21</v>
      </c>
      <c r="G49" s="1" t="str">
        <f>_xlfn.TEXTJOIN(", ", TRUE, C49, D49, TRIM(E49))</f>
        <v>250 Commercial St,  Wellfleet, MA 02667</v>
      </c>
      <c r="H49">
        <v>-70.030069400000002</v>
      </c>
      <c r="I49">
        <v>41.930549999999997</v>
      </c>
    </row>
    <row r="50" spans="1:9">
      <c r="A50" t="s">
        <v>94</v>
      </c>
      <c r="G50" s="1" t="str">
        <f>_xlfn.TEXTJOIN(", ", TRUE, C50, D50, TRIM(E50))</f>
        <v/>
      </c>
    </row>
    <row r="51" spans="1:9">
      <c r="A51" t="s">
        <v>95</v>
      </c>
      <c r="G51" s="1" t="str">
        <f>_xlfn.TEXTJOIN(", ", TRUE, C51, D51, TRIM(E51))</f>
        <v/>
      </c>
    </row>
    <row r="52" spans="1:9" ht="29">
      <c r="A52" t="s">
        <v>96</v>
      </c>
      <c r="B52" t="s">
        <v>97</v>
      </c>
      <c r="C52" t="s">
        <v>98</v>
      </c>
      <c r="D52" t="s">
        <v>99</v>
      </c>
      <c r="E52" t="s">
        <v>100</v>
      </c>
      <c r="G52" s="1" t="str">
        <f>_xlfn.TEXTJOIN(", ", TRUE, C52, D52, TRIM(E52))</f>
        <v>152 S Shore Dr,  South Yarmouth, MA 02664</v>
      </c>
      <c r="H52">
        <v>-70.212602599999997</v>
      </c>
      <c r="I52">
        <v>41.641642699999998</v>
      </c>
    </row>
    <row r="53" spans="1:9">
      <c r="A53" t="s">
        <v>101</v>
      </c>
      <c r="G53" s="1" t="str">
        <f>_xlfn.TEXTJOIN(", ", TRUE, C53, D53, TRIM(E53))</f>
        <v/>
      </c>
    </row>
    <row r="54" spans="1:9">
      <c r="A54" t="s">
        <v>102</v>
      </c>
      <c r="G54" s="1" t="str">
        <f>_xlfn.TEXTJOIN(", ", TRUE, C54, D54, TRIM(E54))</f>
        <v/>
      </c>
    </row>
    <row r="55" spans="1:9" ht="29">
      <c r="A55" t="s">
        <v>103</v>
      </c>
      <c r="B55" t="s">
        <v>170</v>
      </c>
      <c r="C55" t="s">
        <v>104</v>
      </c>
      <c r="D55" t="s">
        <v>105</v>
      </c>
      <c r="E55" t="s">
        <v>106</v>
      </c>
      <c r="G55" s="1" t="str">
        <f>_xlfn.TEXTJOIN(", ", TRUE, C55, D55, TRIM(E55))</f>
        <v>1019 US-6,  South Wellfleet, MA 02663</v>
      </c>
      <c r="H55">
        <v>-69.985415099999997</v>
      </c>
      <c r="I55">
        <v>41.905132999999999</v>
      </c>
    </row>
    <row r="56" spans="1:9">
      <c r="A56" t="s">
        <v>107</v>
      </c>
      <c r="G56" s="1" t="str">
        <f>_xlfn.TEXTJOIN(", ", TRUE, C56, D56, TRIM(E56))</f>
        <v/>
      </c>
    </row>
    <row r="57" spans="1:9">
      <c r="A57" t="s">
        <v>108</v>
      </c>
      <c r="G57" s="1" t="str">
        <f>_xlfn.TEXTJOIN(", ", TRUE, C57, D57, TRIM(E57))</f>
        <v/>
      </c>
    </row>
    <row r="58" spans="1:9" ht="29">
      <c r="A58" t="s">
        <v>109</v>
      </c>
      <c r="B58" t="s">
        <v>110</v>
      </c>
      <c r="C58" t="s">
        <v>111</v>
      </c>
      <c r="D58" t="s">
        <v>20</v>
      </c>
      <c r="E58" t="s">
        <v>21</v>
      </c>
      <c r="G58" s="1" t="str">
        <f>_xlfn.TEXTJOIN(", ", TRUE, C58, D58, TRIM(E58))</f>
        <v>50 Main St,  Wellfleet, MA 02667</v>
      </c>
      <c r="H58">
        <v>-70.022751</v>
      </c>
      <c r="I58">
        <v>41.938094</v>
      </c>
    </row>
    <row r="59" spans="1:9">
      <c r="A59" t="s">
        <v>112</v>
      </c>
      <c r="G59" s="1" t="str">
        <f>_xlfn.TEXTJOIN(", ", TRUE, C59, D59, TRIM(E59))</f>
        <v/>
      </c>
    </row>
    <row r="60" spans="1:9">
      <c r="A60" t="s">
        <v>113</v>
      </c>
      <c r="G60" s="1" t="str">
        <f>_xlfn.TEXTJOIN(", ", TRUE, C60, D60, TRIM(E60))</f>
        <v/>
      </c>
    </row>
    <row r="61" spans="1:9" ht="29">
      <c r="A61" t="s">
        <v>114</v>
      </c>
      <c r="B61" t="s">
        <v>115</v>
      </c>
      <c r="C61" t="s">
        <v>116</v>
      </c>
      <c r="D61" t="s">
        <v>20</v>
      </c>
      <c r="E61" t="s">
        <v>21</v>
      </c>
      <c r="G61" s="1" t="str">
        <f>_xlfn.TEXTJOIN(", ", TRUE, C61, D61, TRIM(E61))</f>
        <v>316 Main St,  Wellfleet, MA 02667</v>
      </c>
      <c r="H61">
        <v>-70.031569599999997</v>
      </c>
      <c r="I61">
        <v>41.938602699999997</v>
      </c>
    </row>
    <row r="62" spans="1:9">
      <c r="A62" t="s">
        <v>117</v>
      </c>
      <c r="G62" s="1" t="str">
        <f>_xlfn.TEXTJOIN(", ", TRUE, C62, D62, TRIM(E62))</f>
        <v/>
      </c>
    </row>
    <row r="63" spans="1:9">
      <c r="A63" t="s">
        <v>118</v>
      </c>
      <c r="G63" s="1" t="str">
        <f>_xlfn.TEXTJOIN(", ", TRUE, C63, D63, TRIM(E63))</f>
        <v/>
      </c>
    </row>
    <row r="64" spans="1:9" ht="29">
      <c r="A64" t="s">
        <v>119</v>
      </c>
      <c r="B64" t="s">
        <v>120</v>
      </c>
      <c r="C64" t="s">
        <v>121</v>
      </c>
      <c r="D64" t="s">
        <v>6</v>
      </c>
      <c r="E64" t="s">
        <v>7</v>
      </c>
      <c r="G64" s="1" t="str">
        <f>_xlfn.TEXTJOIN(", ", TRUE, C64, D64, TRIM(E64))</f>
        <v>4100 State Hwy,  Eastham, MA 02642</v>
      </c>
      <c r="H64">
        <v>-69.987010900000001</v>
      </c>
      <c r="I64">
        <v>41.850687600000001</v>
      </c>
    </row>
    <row r="65" spans="1:9">
      <c r="A65" t="s">
        <v>122</v>
      </c>
      <c r="G65" s="1" t="str">
        <f>_xlfn.TEXTJOIN(", ", TRUE, C65, D65, TRIM(E65))</f>
        <v/>
      </c>
    </row>
    <row r="66" spans="1:9">
      <c r="A66" t="s">
        <v>123</v>
      </c>
      <c r="G66" s="1" t="str">
        <f>_xlfn.TEXTJOIN(", ", TRUE, C66, D66, TRIM(E66))</f>
        <v/>
      </c>
    </row>
    <row r="67" spans="1:9">
      <c r="A67" t="s">
        <v>124</v>
      </c>
      <c r="B67" t="s">
        <v>125</v>
      </c>
      <c r="C67" t="s">
        <v>126</v>
      </c>
      <c r="D67" t="s">
        <v>20</v>
      </c>
      <c r="E67" t="s">
        <v>21</v>
      </c>
      <c r="G67" s="1" t="str">
        <f>_xlfn.TEXTJOIN(", ", TRUE, C67, D67, TRIM(E67))</f>
        <v>545 US-6,  Wellfleet, MA 02667</v>
      </c>
      <c r="H67">
        <v>-69.987741399999905</v>
      </c>
      <c r="I67">
        <v>41.892133800000003</v>
      </c>
    </row>
    <row r="68" spans="1:9">
      <c r="A68" t="s">
        <v>127</v>
      </c>
      <c r="G68" s="1" t="str">
        <f>_xlfn.TEXTJOIN(", ", TRUE, C68, D68, TRIM(E68))</f>
        <v/>
      </c>
    </row>
    <row r="69" spans="1:9">
      <c r="A69" t="s">
        <v>128</v>
      </c>
      <c r="G69" s="1" t="str">
        <f>_xlfn.TEXTJOIN(", ", TRUE, C69, D69, TRIM(E69))</f>
        <v/>
      </c>
    </row>
    <row r="70" spans="1:9" ht="29">
      <c r="A70" t="s">
        <v>129</v>
      </c>
      <c r="B70" t="s">
        <v>130</v>
      </c>
      <c r="C70" t="s">
        <v>131</v>
      </c>
      <c r="D70" t="s">
        <v>63</v>
      </c>
      <c r="E70" t="s">
        <v>64</v>
      </c>
      <c r="G70" s="1" t="str">
        <f>_xlfn.TEXTJOIN(", ", TRUE, C70, D70, TRIM(E70))</f>
        <v>9 Ryder St Ext,  Provincetown, MA 02657</v>
      </c>
      <c r="H70">
        <v>-70.1838482</v>
      </c>
      <c r="I70">
        <v>42.049236700000002</v>
      </c>
    </row>
    <row r="71" spans="1:9">
      <c r="A71" t="s">
        <v>132</v>
      </c>
      <c r="G71" s="1" t="str">
        <f>_xlfn.TEXTJOIN(", ", TRUE, C71, D71, TRIM(E71))</f>
        <v/>
      </c>
    </row>
    <row r="72" spans="1:9">
      <c r="A72" t="s">
        <v>133</v>
      </c>
      <c r="G72" s="1" t="str">
        <f>_xlfn.TEXTJOIN(", ", TRUE, C72, D72, TRIM(E72))</f>
        <v/>
      </c>
    </row>
    <row r="73" spans="1:9" ht="29">
      <c r="A73" t="s">
        <v>134</v>
      </c>
      <c r="B73" t="s">
        <v>135</v>
      </c>
      <c r="C73" t="s">
        <v>136</v>
      </c>
      <c r="D73" t="s">
        <v>20</v>
      </c>
      <c r="E73" t="s">
        <v>21</v>
      </c>
      <c r="G73" s="1" t="str">
        <f>_xlfn.TEXTJOIN(", ", TRUE, C73, D73, TRIM(E73))</f>
        <v>554 State Highway Route 6,  Wellfleet, MA 02667</v>
      </c>
      <c r="H73">
        <v>-69.986524000000003</v>
      </c>
      <c r="I73">
        <v>41.892733900000003</v>
      </c>
    </row>
    <row r="74" spans="1:9">
      <c r="A74" t="s">
        <v>137</v>
      </c>
      <c r="G74" s="1" t="str">
        <f>_xlfn.TEXTJOIN(", ", TRUE, C74, D74, TRIM(E74))</f>
        <v/>
      </c>
    </row>
    <row r="75" spans="1:9">
      <c r="A75" t="s">
        <v>138</v>
      </c>
      <c r="G75" s="1" t="str">
        <f>_xlfn.TEXTJOIN(", ", TRUE, C75, D75, TRIM(E75))</f>
        <v/>
      </c>
    </row>
    <row r="76" spans="1:9">
      <c r="G76" s="1" t="str">
        <f>_xlfn.TEXTJOIN(", ", TRUE, C76, D76, TRIM(E76))</f>
        <v/>
      </c>
    </row>
    <row r="77" spans="1:9" ht="29">
      <c r="A77" t="s">
        <v>139</v>
      </c>
      <c r="B77" t="s">
        <v>140</v>
      </c>
      <c r="C77" t="s">
        <v>121</v>
      </c>
      <c r="D77" t="s">
        <v>6</v>
      </c>
      <c r="E77" t="s">
        <v>7</v>
      </c>
      <c r="G77" s="1" t="str">
        <f>_xlfn.TEXTJOIN(", ", TRUE, C77, D77, TRIM(E77))</f>
        <v>4100 State Hwy,  Eastham, MA 02642</v>
      </c>
      <c r="H77">
        <v>-69.986981900000004</v>
      </c>
      <c r="I77">
        <v>41.850684600000001</v>
      </c>
    </row>
    <row r="78" spans="1:9">
      <c r="A78" t="s">
        <v>122</v>
      </c>
      <c r="G78" s="1" t="str">
        <f>_xlfn.TEXTJOIN(", ", TRUE, C78, D78, TRIM(E78))</f>
        <v/>
      </c>
    </row>
    <row r="79" spans="1:9">
      <c r="A79" t="s">
        <v>123</v>
      </c>
      <c r="G79" s="1" t="str">
        <f>_xlfn.TEXTJOIN(", ", TRUE, C79, D79, TRIM(E79))</f>
        <v/>
      </c>
    </row>
    <row r="80" spans="1:9" ht="29">
      <c r="A80" t="s">
        <v>141</v>
      </c>
      <c r="B80" t="s">
        <v>142</v>
      </c>
      <c r="C80" t="s">
        <v>142</v>
      </c>
      <c r="D80" t="s">
        <v>143</v>
      </c>
      <c r="E80" t="s">
        <v>32</v>
      </c>
      <c r="F80" t="s">
        <v>33</v>
      </c>
      <c r="G80" s="1" t="str">
        <f>_xlfn.TEXTJOIN(", ", TRUE, C80, D80, TRIM(E80))</f>
        <v>Englewood Beach,  199 Berry Ave, West Yarmouth</v>
      </c>
      <c r="H80">
        <v>-70.247238099999905</v>
      </c>
      <c r="I80">
        <v>41.6403015</v>
      </c>
    </row>
    <row r="81" spans="1:9" ht="29">
      <c r="A81" t="s">
        <v>144</v>
      </c>
      <c r="B81" t="s">
        <v>145</v>
      </c>
      <c r="C81" t="s">
        <v>146</v>
      </c>
      <c r="D81" t="s">
        <v>63</v>
      </c>
      <c r="E81" t="s">
        <v>64</v>
      </c>
      <c r="G81" s="1" t="str">
        <f>_xlfn.TEXTJOIN(", ", TRUE, C81, D81, TRIM(E81))</f>
        <v>312 Commercial St,  Provincetown, MA 02657</v>
      </c>
      <c r="H81">
        <v>-70.185617999999906</v>
      </c>
      <c r="I81">
        <v>42.052123999999999</v>
      </c>
    </row>
    <row r="82" spans="1:9">
      <c r="A82" t="s">
        <v>147</v>
      </c>
      <c r="G82" s="1" t="str">
        <f>_xlfn.TEXTJOIN(", ", TRUE, C82, D82, TRIM(E82))</f>
        <v/>
      </c>
    </row>
    <row r="83" spans="1:9">
      <c r="A83" t="s">
        <v>148</v>
      </c>
      <c r="G83" s="1" t="str">
        <f>_xlfn.TEXTJOIN(", ", TRUE, C83, D83, TRIM(E83))</f>
        <v/>
      </c>
    </row>
    <row r="84" spans="1:9" ht="29">
      <c r="A84" t="s">
        <v>149</v>
      </c>
      <c r="B84" t="s">
        <v>150</v>
      </c>
      <c r="C84" t="s">
        <v>151</v>
      </c>
      <c r="D84" t="s">
        <v>152</v>
      </c>
      <c r="E84" t="s">
        <v>153</v>
      </c>
      <c r="G84" s="1" t="str">
        <f>_xlfn.TEXTJOIN(", ", TRUE, C84, D84, TRIM(E84))</f>
        <v>1 Lighthouse Inn Rd,  West Dennis, MA 02670</v>
      </c>
      <c r="H84">
        <v>-70.169355699999997</v>
      </c>
      <c r="I84">
        <v>41.651788799999999</v>
      </c>
    </row>
    <row r="85" spans="1:9">
      <c r="A85" t="s">
        <v>154</v>
      </c>
      <c r="G85" s="1" t="str">
        <f>_xlfn.TEXTJOIN(", ", TRUE, C85, D85, TRIM(E85))</f>
        <v/>
      </c>
    </row>
    <row r="86" spans="1:9">
      <c r="A86" t="s">
        <v>155</v>
      </c>
      <c r="G86" s="1" t="str">
        <f>_xlfn.TEXTJOIN(", ", TRUE, C86, D86, TRIM(E86))</f>
        <v/>
      </c>
    </row>
    <row r="87" spans="1:9" ht="29">
      <c r="A87" t="s">
        <v>156</v>
      </c>
      <c r="B87" t="s">
        <v>157</v>
      </c>
      <c r="C87" t="s">
        <v>158</v>
      </c>
      <c r="D87" t="s">
        <v>63</v>
      </c>
      <c r="E87" t="s">
        <v>64</v>
      </c>
      <c r="G87" s="1" t="str">
        <f>_xlfn.TEXTJOIN(", ", TRUE, C87, D87, TRIM(E87))</f>
        <v>335 Commercial St,  Provincetown, MA 02657</v>
      </c>
      <c r="H87">
        <v>-70.184859799999998</v>
      </c>
      <c r="I87">
        <v>42.052385000000001</v>
      </c>
    </row>
    <row r="88" spans="1:9">
      <c r="A88" t="s">
        <v>159</v>
      </c>
      <c r="G88" s="1" t="str">
        <f>_xlfn.TEXTJOIN(", ", TRUE, C88, D88, TRIM(E88))</f>
        <v/>
      </c>
    </row>
    <row r="89" spans="1:9">
      <c r="A89" t="s">
        <v>160</v>
      </c>
      <c r="G89" s="1" t="str">
        <f>_xlfn.TEXTJOIN(", ", TRUE, C89, D89, TRIM(E89))</f>
        <v/>
      </c>
    </row>
    <row r="90" spans="1:9">
      <c r="A90" t="s">
        <v>161</v>
      </c>
      <c r="B90" t="s">
        <v>175</v>
      </c>
      <c r="C90" t="s">
        <v>161</v>
      </c>
      <c r="D90" t="s">
        <v>13</v>
      </c>
      <c r="E90" t="s">
        <v>14</v>
      </c>
      <c r="G90" s="3" t="s">
        <v>176</v>
      </c>
      <c r="H90">
        <v>-69.965246399999998</v>
      </c>
      <c r="I90">
        <v>41.7850058</v>
      </c>
    </row>
    <row r="91" spans="1:9">
      <c r="A91" s="2" t="s">
        <v>162</v>
      </c>
      <c r="G91" s="1" t="str">
        <f>_xlfn.TEXTJOIN(", ", TRUE, C91, D91, TRIM(E91))</f>
        <v/>
      </c>
    </row>
    <row r="92" spans="1:9">
      <c r="A92" t="s">
        <v>163</v>
      </c>
      <c r="G92" s="1" t="str">
        <f>_xlfn.TEXTJOIN(", ", TRUE, C92, D92, TRIM(E92))</f>
        <v/>
      </c>
    </row>
    <row r="93" spans="1:9" ht="29">
      <c r="A93" t="s">
        <v>164</v>
      </c>
      <c r="B93" t="s">
        <v>165</v>
      </c>
      <c r="C93" t="s">
        <v>166</v>
      </c>
      <c r="D93" t="s">
        <v>99</v>
      </c>
      <c r="E93" t="s">
        <v>100</v>
      </c>
      <c r="G93" s="1" t="str">
        <f>_xlfn.TEXTJOIN(", ", TRUE, C93, D93, TRIM(E93))</f>
        <v>440 Highbank Rd,  South Yarmouth, MA 02664</v>
      </c>
      <c r="H93">
        <v>-70.160617099999996</v>
      </c>
      <c r="I93">
        <v>41.684896599999902</v>
      </c>
    </row>
    <row r="94" spans="1:9">
      <c r="A94" t="s">
        <v>167</v>
      </c>
      <c r="G94" s="1" t="str">
        <f>_xlfn.TEXTJOIN(", ", TRUE, C94, D94, TRIM(E94))</f>
        <v/>
      </c>
    </row>
    <row r="95" spans="1:9">
      <c r="A95" t="s">
        <v>168</v>
      </c>
      <c r="G95" s="1" t="str">
        <f>_xlfn.TEXTJOIN(", ", TRUE, C95, D95, TRIM(E95))</f>
        <v/>
      </c>
    </row>
    <row r="96" spans="1:9">
      <c r="G96" s="1" t="str">
        <f>_xlfn.TEXTJOIN(", ", TRUE, C96, D96, TRIM(E96))</f>
        <v/>
      </c>
    </row>
    <row r="97" spans="7:7">
      <c r="G97" s="1" t="str">
        <f>_xlfn.TEXTJOIN(", ", TRUE, C97, D97, TRIM(E97))</f>
        <v/>
      </c>
    </row>
    <row r="98" spans="7:7">
      <c r="G98" s="1" t="str">
        <f>_xlfn.TEXTJOIN(", ", TRUE, C98, D98, TRIM(E98))</f>
        <v/>
      </c>
    </row>
  </sheetData>
  <hyperlinks>
    <hyperlink ref="A91" r:id="rId1" xr:uid="{C6D11017-EF25-499B-AB52-26663BA3C17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Massachusetts Oyster Project- 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suzanne jacobs</dc:creator>
  <cp:lastModifiedBy>Borkan, Aidan</cp:lastModifiedBy>
  <dcterms:created xsi:type="dcterms:W3CDTF">2025-10-10T21:13:55Z</dcterms:created>
  <dcterms:modified xsi:type="dcterms:W3CDTF">2025-10-10T22:50:30Z</dcterms:modified>
</cp:coreProperties>
</file>