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YF2LoAu9Ajzu/orRSOkoBZHaVVxiAMGtrlGrztgN10="/>
    </ext>
  </extLst>
</workbook>
</file>

<file path=xl/sharedStrings.xml><?xml version="1.0" encoding="utf-8"?>
<sst xmlns="http://schemas.openxmlformats.org/spreadsheetml/2006/main" count="105" uniqueCount="40">
  <si>
    <t>Total Buckets Collected</t>
  </si>
  <si>
    <t>Total to Date</t>
  </si>
  <si>
    <t>Total Weight of Shell</t>
  </si>
  <si>
    <t># Participating Restaurants</t>
  </si>
  <si>
    <t>Restaurant</t>
  </si>
  <si>
    <t>Total Buckets to Date</t>
  </si>
  <si>
    <t>Total to Weight Date</t>
  </si>
  <si>
    <t>#  Oysters Recaptured 2024</t>
  </si>
  <si>
    <t>Years Participating</t>
  </si>
  <si>
    <t>Pearl</t>
  </si>
  <si>
    <t>Mac's Shack</t>
  </si>
  <si>
    <t>Winslow's Tavern</t>
  </si>
  <si>
    <t>Beachcomber</t>
  </si>
  <si>
    <t>Bookstore</t>
  </si>
  <si>
    <t>Van Rensselaer's</t>
  </si>
  <si>
    <t xml:space="preserve">Arnold's </t>
  </si>
  <si>
    <t>Moby Dick's</t>
  </si>
  <si>
    <t>Mac's Lobster &amp; Fish</t>
  </si>
  <si>
    <t>Lobster Pot</t>
  </si>
  <si>
    <t>Wicked Oyster</t>
  </si>
  <si>
    <t>Barley Neck</t>
  </si>
  <si>
    <t>Mac's Fish House</t>
  </si>
  <si>
    <t>Del Mar</t>
  </si>
  <si>
    <t>Cshore</t>
  </si>
  <si>
    <t>Gov. Bradford</t>
  </si>
  <si>
    <t>Elwood Raw Bars</t>
  </si>
  <si>
    <t xml:space="preserve">Squealing Pig </t>
  </si>
  <si>
    <t>Captain Parker's</t>
  </si>
  <si>
    <t>Mac's on the Pier</t>
  </si>
  <si>
    <t>Hog Island Surf</t>
  </si>
  <si>
    <t>Casa Del Cabo</t>
  </si>
  <si>
    <t>The Rail</t>
  </si>
  <si>
    <t>Ceraldi</t>
  </si>
  <si>
    <t>Brine</t>
  </si>
  <si>
    <t>Englewood Beach</t>
  </si>
  <si>
    <t>Block and Tackle</t>
  </si>
  <si>
    <t>FM</t>
  </si>
  <si>
    <t>Wilbur Park</t>
  </si>
  <si>
    <t>Community</t>
  </si>
  <si>
    <t>Skipper's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</si>
</sst>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shrinkToFit="0" wrapText="1"/>
    </xf>
    <xf borderId="7" fillId="0" fontId="3" numFmtId="3" xfId="0" applyAlignment="1" applyBorder="1" applyFont="1" applyNumberFormat="1">
      <alignment horizontal="center"/>
    </xf>
    <xf borderId="8" fillId="0" fontId="3" numFmtId="3" xfId="0" applyAlignment="1" applyBorder="1" applyFont="1" applyNumberFormat="1">
      <alignment horizontal="center"/>
    </xf>
    <xf borderId="9" fillId="0" fontId="3" numFmtId="3" xfId="0" applyAlignment="1" applyBorder="1" applyFont="1" applyNumberFormat="1">
      <alignment horizontal="center"/>
    </xf>
    <xf borderId="5" fillId="0" fontId="1" numFmtId="1" xfId="0" applyAlignment="1" applyBorder="1" applyFont="1" applyNumberFormat="1">
      <alignment horizontal="center"/>
    </xf>
    <xf borderId="6" fillId="0" fontId="1" numFmtId="1" xfId="0" applyAlignment="1" applyBorder="1" applyFont="1" applyNumberFormat="1">
      <alignment horizontal="center"/>
    </xf>
    <xf borderId="0" fillId="0" fontId="3" numFmtId="0" xfId="0" applyAlignment="1" applyFont="1">
      <alignment horizontal="center" shrinkToFit="0" wrapText="1"/>
    </xf>
    <xf borderId="7" fillId="0" fontId="3" numFmtId="0" xfId="0" applyAlignment="1" applyBorder="1" applyFont="1">
      <alignment horizontal="center"/>
    </xf>
    <xf borderId="8" fillId="0" fontId="3" numFmtId="1" xfId="0" applyAlignment="1" applyBorder="1" applyFont="1" applyNumberFormat="1">
      <alignment horizontal="center"/>
    </xf>
    <xf borderId="9" fillId="0" fontId="3" numFmtId="1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11" fillId="0" fontId="1" numFmtId="1" xfId="0" applyAlignment="1" applyBorder="1" applyFont="1" applyNumberFormat="1">
      <alignment horizontal="center"/>
    </xf>
    <xf borderId="11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  <xf borderId="4" fillId="0" fontId="3" numFmtId="0" xfId="0" applyBorder="1" applyFont="1"/>
    <xf borderId="5" fillId="0" fontId="3" numFmtId="3" xfId="0" applyBorder="1" applyFont="1" applyNumberFormat="1"/>
    <xf borderId="6" fillId="0" fontId="3" numFmtId="3" xfId="0" applyBorder="1" applyFont="1" applyNumberFormat="1"/>
    <xf borderId="4" fillId="0" fontId="3" numFmtId="3" xfId="0" applyBorder="1" applyFont="1" applyNumberFormat="1"/>
    <xf borderId="1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left"/>
    </xf>
    <xf borderId="7" fillId="0" fontId="3" numFmtId="0" xfId="0" applyBorder="1" applyFont="1"/>
    <xf borderId="8" fillId="0" fontId="3" numFmtId="3" xfId="0" applyBorder="1" applyFont="1" applyNumberFormat="1"/>
    <xf borderId="9" fillId="0" fontId="3" numFmtId="3" xfId="0" applyBorder="1" applyFont="1" applyNumberFormat="1"/>
    <xf borderId="7" fillId="0" fontId="3" numFmtId="3" xfId="0" applyBorder="1" applyFont="1" applyNumberFormat="1"/>
    <xf borderId="14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33"/>
    <col customWidth="1" min="2" max="5" width="10.56"/>
    <col customWidth="1" min="6" max="6" width="9.78"/>
    <col customWidth="1" min="7" max="7" width="10.56"/>
    <col customWidth="1" min="8" max="8" width="18.33"/>
    <col customWidth="1" min="9" max="14" width="10.56"/>
    <col customWidth="1" min="15" max="15" width="18.33"/>
    <col customWidth="1" min="16" max="16" width="10.56"/>
    <col customWidth="1" min="17" max="17" width="12.44"/>
    <col customWidth="1" min="18" max="26" width="10.56"/>
  </cols>
  <sheetData>
    <row r="1" ht="15.75" customHeight="1"/>
    <row r="2" ht="15.75" customHeight="1">
      <c r="A2" s="1" t="s">
        <v>0</v>
      </c>
      <c r="B2" s="2"/>
      <c r="C2" s="2"/>
      <c r="D2" s="2"/>
      <c r="E2" s="3"/>
    </row>
    <row r="3" ht="15.75" customHeight="1">
      <c r="A3" s="4">
        <v>2021.0</v>
      </c>
      <c r="B3" s="5">
        <v>2022.0</v>
      </c>
      <c r="C3" s="5">
        <v>2023.0</v>
      </c>
      <c r="D3" s="5">
        <v>2024.0</v>
      </c>
      <c r="E3" s="6" t="s">
        <v>1</v>
      </c>
    </row>
    <row r="4" ht="15.75" customHeight="1">
      <c r="A4" s="7">
        <v>1257.0</v>
      </c>
      <c r="B4" s="8">
        <v>2147.0</v>
      </c>
      <c r="C4" s="8">
        <v>2891.0</v>
      </c>
      <c r="D4" s="8">
        <v>3118.0</v>
      </c>
      <c r="E4" s="9">
        <v>9413.0</v>
      </c>
    </row>
    <row r="5" ht="15.75" customHeight="1"/>
    <row r="6" ht="15.75" customHeight="1"/>
    <row r="7" ht="15.75" customHeight="1">
      <c r="A7" s="1" t="s">
        <v>2</v>
      </c>
      <c r="B7" s="2"/>
      <c r="C7" s="2"/>
      <c r="D7" s="2"/>
      <c r="E7" s="3"/>
    </row>
    <row r="8" ht="15.75" customHeight="1">
      <c r="A8" s="4">
        <v>2021.0</v>
      </c>
      <c r="B8" s="10">
        <v>2022.0</v>
      </c>
      <c r="C8" s="10">
        <v>2023.0</v>
      </c>
      <c r="D8" s="10">
        <v>2024.0</v>
      </c>
      <c r="E8" s="6" t="s">
        <v>1</v>
      </c>
    </row>
    <row r="9" ht="15.75" customHeight="1">
      <c r="A9" s="7">
        <v>25083.0</v>
      </c>
      <c r="B9" s="8">
        <v>37851.88</v>
      </c>
      <c r="C9" s="8">
        <v>54486.32</v>
      </c>
      <c r="D9" s="8">
        <v>63016.89</v>
      </c>
      <c r="E9" s="9">
        <v>180438.09</v>
      </c>
    </row>
    <row r="10" ht="15.75" customHeight="1"/>
    <row r="11" ht="15.75" customHeight="1">
      <c r="A11" s="1" t="s">
        <v>3</v>
      </c>
      <c r="B11" s="2"/>
      <c r="C11" s="2"/>
      <c r="D11" s="3"/>
    </row>
    <row r="12" ht="15.75" customHeight="1">
      <c r="A12" s="4">
        <v>2021.0</v>
      </c>
      <c r="B12" s="10">
        <v>2022.0</v>
      </c>
      <c r="C12" s="10">
        <v>2023.0</v>
      </c>
      <c r="D12" s="11">
        <v>2024.0</v>
      </c>
      <c r="E12" s="12"/>
    </row>
    <row r="13" ht="15.75" customHeight="1">
      <c r="A13" s="13">
        <v>8.0</v>
      </c>
      <c r="B13" s="14">
        <v>17.0</v>
      </c>
      <c r="C13" s="14">
        <v>20.0</v>
      </c>
      <c r="D13" s="15">
        <v>23.0</v>
      </c>
    </row>
    <row r="14" ht="15.75" customHeight="1"/>
    <row r="15" ht="15.75" customHeight="1"/>
    <row r="16" ht="15.75" customHeight="1"/>
    <row r="17" ht="15.75" customHeight="1">
      <c r="A17" s="16" t="s">
        <v>4</v>
      </c>
      <c r="B17" s="17">
        <v>2021.0</v>
      </c>
      <c r="C17" s="17">
        <v>2022.0</v>
      </c>
      <c r="D17" s="17">
        <v>2023.0</v>
      </c>
      <c r="E17" s="17">
        <v>2024.0</v>
      </c>
      <c r="F17" s="18" t="s">
        <v>5</v>
      </c>
      <c r="G17" s="19"/>
      <c r="H17" s="16" t="s">
        <v>4</v>
      </c>
      <c r="I17" s="16">
        <v>2021.0</v>
      </c>
      <c r="J17" s="20">
        <v>2022.0</v>
      </c>
      <c r="K17" s="20">
        <v>2023.0</v>
      </c>
      <c r="L17" s="20">
        <v>2024.0</v>
      </c>
      <c r="M17" s="18" t="s">
        <v>6</v>
      </c>
      <c r="N17" s="19"/>
      <c r="O17" s="16" t="s">
        <v>4</v>
      </c>
      <c r="P17" s="21" t="s">
        <v>7</v>
      </c>
      <c r="Q17" s="22" t="s">
        <v>8</v>
      </c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23" t="s">
        <v>9</v>
      </c>
      <c r="B18" s="24">
        <v>344.0</v>
      </c>
      <c r="C18" s="24">
        <v>143.0</v>
      </c>
      <c r="D18" s="24">
        <v>315.0</v>
      </c>
      <c r="E18" s="24">
        <v>518.0</v>
      </c>
      <c r="F18" s="25">
        <v>1320.0</v>
      </c>
      <c r="H18" s="23" t="s">
        <v>9</v>
      </c>
      <c r="I18" s="26">
        <v>7350.0</v>
      </c>
      <c r="J18" s="24">
        <v>2950.919999999999</v>
      </c>
      <c r="K18" s="24">
        <v>6646.839999999999</v>
      </c>
      <c r="L18" s="24">
        <v>11770.65</v>
      </c>
      <c r="M18" s="25">
        <v>28718.409999999996</v>
      </c>
      <c r="O18" s="23" t="s">
        <v>9</v>
      </c>
      <c r="P18" s="24">
        <v>11265.494324970132</v>
      </c>
      <c r="Q18" s="27">
        <v>4.0</v>
      </c>
    </row>
    <row r="19" ht="15.75" customHeight="1">
      <c r="A19" s="23" t="s">
        <v>10</v>
      </c>
      <c r="B19" s="24">
        <v>313.0</v>
      </c>
      <c r="C19" s="24">
        <v>237.0</v>
      </c>
      <c r="D19" s="24">
        <v>276.0</v>
      </c>
      <c r="E19" s="24">
        <v>298.0</v>
      </c>
      <c r="F19" s="25">
        <v>1124.0</v>
      </c>
      <c r="H19" s="23" t="s">
        <v>10</v>
      </c>
      <c r="I19" s="26">
        <v>6284.0</v>
      </c>
      <c r="J19" s="24">
        <v>5155.2699999999995</v>
      </c>
      <c r="K19" s="24">
        <v>5914.199999999999</v>
      </c>
      <c r="L19" s="24">
        <v>6718.550000000001</v>
      </c>
      <c r="M19" s="25">
        <v>24072.020000000004</v>
      </c>
      <c r="O19" s="23" t="s">
        <v>10</v>
      </c>
      <c r="P19" s="24">
        <v>6480.921445639187</v>
      </c>
      <c r="Q19" s="27">
        <v>4.0</v>
      </c>
    </row>
    <row r="20" ht="15.75" customHeight="1">
      <c r="A20" s="23" t="s">
        <v>11</v>
      </c>
      <c r="B20" s="24">
        <v>199.0</v>
      </c>
      <c r="C20" s="24">
        <v>244.0</v>
      </c>
      <c r="D20" s="24">
        <v>244.0</v>
      </c>
      <c r="E20" s="24">
        <v>249.0</v>
      </c>
      <c r="F20" s="25">
        <v>936.0</v>
      </c>
      <c r="H20" s="23" t="s">
        <v>11</v>
      </c>
      <c r="I20" s="26">
        <v>3850.0</v>
      </c>
      <c r="J20" s="24">
        <v>4183.799999999999</v>
      </c>
      <c r="K20" s="24">
        <v>5092.47</v>
      </c>
      <c r="L20" s="24">
        <v>5334.0</v>
      </c>
      <c r="M20" s="25">
        <v>18460.27</v>
      </c>
      <c r="O20" s="23" t="s">
        <v>11</v>
      </c>
      <c r="P20" s="24">
        <v>5415.266577060931</v>
      </c>
      <c r="Q20" s="27">
        <v>4.0</v>
      </c>
    </row>
    <row r="21" ht="15.75" customHeight="1">
      <c r="A21" s="23" t="s">
        <v>12</v>
      </c>
      <c r="B21" s="24">
        <v>54.0</v>
      </c>
      <c r="C21" s="24">
        <v>208.0</v>
      </c>
      <c r="D21" s="24">
        <v>144.0</v>
      </c>
      <c r="E21" s="24">
        <v>170.0</v>
      </c>
      <c r="F21" s="25">
        <v>576.0</v>
      </c>
      <c r="H21" s="23" t="s">
        <v>12</v>
      </c>
      <c r="I21" s="26">
        <v>1214.0</v>
      </c>
      <c r="J21" s="24">
        <v>5002.2</v>
      </c>
      <c r="K21" s="24">
        <v>3085.7699999999995</v>
      </c>
      <c r="L21" s="24">
        <v>4181.4299999999985</v>
      </c>
      <c r="M21" s="25">
        <v>13483.399999999998</v>
      </c>
      <c r="O21" s="23" t="s">
        <v>12</v>
      </c>
      <c r="P21" s="24">
        <v>3697.169952210275</v>
      </c>
      <c r="Q21" s="27">
        <v>4.0</v>
      </c>
    </row>
    <row r="22" ht="15.75" customHeight="1">
      <c r="A22" s="23" t="s">
        <v>13</v>
      </c>
      <c r="B22" s="24"/>
      <c r="C22" s="24">
        <v>229.0</v>
      </c>
      <c r="D22" s="24">
        <v>269.0</v>
      </c>
      <c r="E22" s="24">
        <v>184.0</v>
      </c>
      <c r="F22" s="25">
        <v>682.0</v>
      </c>
      <c r="H22" s="23" t="s">
        <v>13</v>
      </c>
      <c r="I22" s="26"/>
      <c r="J22" s="24">
        <v>3552.6800000000003</v>
      </c>
      <c r="K22" s="24">
        <v>5892.750000000001</v>
      </c>
      <c r="L22" s="24">
        <v>3818.64</v>
      </c>
      <c r="M22" s="25">
        <v>13264.07</v>
      </c>
      <c r="O22" s="23" t="s">
        <v>13</v>
      </c>
      <c r="P22" s="24">
        <v>4001.6427718040622</v>
      </c>
      <c r="Q22" s="27">
        <v>3.0</v>
      </c>
    </row>
    <row r="23" ht="15.75" customHeight="1">
      <c r="A23" s="23" t="s">
        <v>14</v>
      </c>
      <c r="B23" s="24">
        <v>124.0</v>
      </c>
      <c r="C23" s="24">
        <v>152.0</v>
      </c>
      <c r="D23" s="24">
        <v>145.0</v>
      </c>
      <c r="E23" s="24">
        <v>151.0</v>
      </c>
      <c r="F23" s="25">
        <v>572.0</v>
      </c>
      <c r="H23" s="23" t="s">
        <v>14</v>
      </c>
      <c r="I23" s="26">
        <v>2164.0</v>
      </c>
      <c r="J23" s="24">
        <v>2231.6599999999994</v>
      </c>
      <c r="K23" s="24">
        <v>2352.8499999999995</v>
      </c>
      <c r="L23" s="24">
        <v>2944.7400000000002</v>
      </c>
      <c r="M23" s="25">
        <v>9693.25</v>
      </c>
      <c r="O23" s="23" t="s">
        <v>14</v>
      </c>
      <c r="P23" s="24">
        <v>3283.956839904421</v>
      </c>
      <c r="Q23" s="27">
        <v>4.0</v>
      </c>
    </row>
    <row r="24" ht="15.75" customHeight="1">
      <c r="A24" s="23" t="s">
        <v>15</v>
      </c>
      <c r="B24" s="24"/>
      <c r="C24" s="24">
        <v>144.0</v>
      </c>
      <c r="D24" s="24">
        <v>143.0</v>
      </c>
      <c r="E24" s="24">
        <f>71+44</f>
        <v>115</v>
      </c>
      <c r="F24" s="25">
        <f>331+71</f>
        <v>402</v>
      </c>
      <c r="H24" s="23" t="s">
        <v>15</v>
      </c>
      <c r="I24" s="26"/>
      <c r="J24" s="24">
        <v>3259.56</v>
      </c>
      <c r="K24" s="24">
        <v>2865.979999999999</v>
      </c>
      <c r="L24" s="24">
        <f>1113.2+1754.02</f>
        <v>2867.22</v>
      </c>
      <c r="M24" s="25">
        <f>7238.74+1754.02</f>
        <v>8992.76</v>
      </c>
      <c r="O24" s="23" t="s">
        <v>15</v>
      </c>
      <c r="P24" s="24">
        <v>2501.026732377539</v>
      </c>
      <c r="Q24" s="27">
        <v>3.0</v>
      </c>
    </row>
    <row r="25" ht="15.75" customHeight="1">
      <c r="A25" s="23" t="s">
        <v>16</v>
      </c>
      <c r="B25" s="24">
        <v>117.0</v>
      </c>
      <c r="C25" s="24">
        <v>149.0</v>
      </c>
      <c r="D25" s="24">
        <v>135.0</v>
      </c>
      <c r="E25" s="24">
        <v>118.0</v>
      </c>
      <c r="F25" s="25">
        <v>519.0</v>
      </c>
      <c r="H25" s="23" t="s">
        <v>16</v>
      </c>
      <c r="I25" s="26">
        <v>2296.0</v>
      </c>
      <c r="J25" s="24">
        <v>2122.96</v>
      </c>
      <c r="K25" s="24">
        <v>2006.9100000000005</v>
      </c>
      <c r="L25" s="24">
        <v>2137.15</v>
      </c>
      <c r="M25" s="25">
        <v>8563.02</v>
      </c>
      <c r="O25" s="23" t="s">
        <v>16</v>
      </c>
      <c r="P25" s="24">
        <v>2566.270908004779</v>
      </c>
      <c r="Q25" s="27">
        <v>4.0</v>
      </c>
    </row>
    <row r="26" ht="15.75" customHeight="1">
      <c r="A26" s="23" t="s">
        <v>17</v>
      </c>
      <c r="B26" s="24"/>
      <c r="C26" s="24">
        <v>116.0</v>
      </c>
      <c r="D26" s="24">
        <v>167.0</v>
      </c>
      <c r="E26" s="24">
        <v>191.0</v>
      </c>
      <c r="F26" s="25">
        <v>474.0</v>
      </c>
      <c r="H26" s="23" t="s">
        <v>17</v>
      </c>
      <c r="I26" s="26"/>
      <c r="J26" s="24">
        <v>2180.2200000000003</v>
      </c>
      <c r="K26" s="24">
        <v>2627.2599999999993</v>
      </c>
      <c r="L26" s="24">
        <v>3624.6700000000005</v>
      </c>
      <c r="M26" s="25">
        <v>8432.15</v>
      </c>
      <c r="O26" s="23" t="s">
        <v>17</v>
      </c>
      <c r="P26" s="24">
        <v>4153.879181600955</v>
      </c>
      <c r="Q26" s="27">
        <v>3.0</v>
      </c>
    </row>
    <row r="27" ht="15.75" customHeight="1">
      <c r="A27" s="23" t="s">
        <v>18</v>
      </c>
      <c r="B27" s="24"/>
      <c r="C27" s="24"/>
      <c r="D27" s="24">
        <v>204.0</v>
      </c>
      <c r="E27" s="24">
        <v>179.0</v>
      </c>
      <c r="F27" s="25">
        <v>383.0</v>
      </c>
      <c r="H27" s="23" t="s">
        <v>18</v>
      </c>
      <c r="I27" s="26"/>
      <c r="J27" s="24"/>
      <c r="K27" s="24">
        <v>4236.739999999999</v>
      </c>
      <c r="L27" s="24">
        <v>3235.0699999999997</v>
      </c>
      <c r="M27" s="25">
        <v>7471.809999999999</v>
      </c>
      <c r="O27" s="23" t="s">
        <v>18</v>
      </c>
      <c r="P27" s="24">
        <v>3892.9024790919952</v>
      </c>
      <c r="Q27" s="27">
        <v>2.0</v>
      </c>
    </row>
    <row r="28" ht="15.75" customHeight="1">
      <c r="A28" s="23" t="s">
        <v>19</v>
      </c>
      <c r="B28" s="24">
        <v>52.0</v>
      </c>
      <c r="C28" s="24">
        <v>189.0</v>
      </c>
      <c r="D28" s="24">
        <v>117.0</v>
      </c>
      <c r="E28" s="24">
        <v>91.0</v>
      </c>
      <c r="F28" s="25">
        <v>449.0</v>
      </c>
      <c r="H28" s="23" t="s">
        <v>19</v>
      </c>
      <c r="I28" s="26">
        <v>975.0</v>
      </c>
      <c r="J28" s="24">
        <v>2388.22</v>
      </c>
      <c r="K28" s="24">
        <v>1753.1600000000005</v>
      </c>
      <c r="L28" s="24">
        <v>1798.7699999999998</v>
      </c>
      <c r="M28" s="25">
        <v>6915.15</v>
      </c>
      <c r="O28" s="23" t="s">
        <v>19</v>
      </c>
      <c r="P28" s="24">
        <v>1979.0733273596177</v>
      </c>
      <c r="Q28" s="27">
        <v>4.0</v>
      </c>
    </row>
    <row r="29" ht="15.75" customHeight="1">
      <c r="A29" s="23" t="s">
        <v>20</v>
      </c>
      <c r="B29" s="24"/>
      <c r="C29" s="24">
        <v>74.0</v>
      </c>
      <c r="D29" s="24">
        <v>145.0</v>
      </c>
      <c r="E29" s="24">
        <v>106.0</v>
      </c>
      <c r="F29" s="25">
        <v>325.0</v>
      </c>
      <c r="H29" s="23" t="s">
        <v>20</v>
      </c>
      <c r="I29" s="26"/>
      <c r="J29" s="24">
        <v>1149.9</v>
      </c>
      <c r="K29" s="24">
        <v>1896.34</v>
      </c>
      <c r="L29" s="24">
        <v>2222.16</v>
      </c>
      <c r="M29" s="25">
        <v>5268.4</v>
      </c>
      <c r="O29" s="23" t="s">
        <v>20</v>
      </c>
      <c r="P29" s="24">
        <v>2305.2942054958185</v>
      </c>
      <c r="Q29" s="27">
        <v>3.0</v>
      </c>
    </row>
    <row r="30" ht="15.75" customHeight="1">
      <c r="A30" s="23" t="s">
        <v>21</v>
      </c>
      <c r="B30" s="24"/>
      <c r="C30" s="24"/>
      <c r="D30" s="24">
        <v>100.0</v>
      </c>
      <c r="E30" s="24">
        <v>85.0</v>
      </c>
      <c r="F30" s="25">
        <v>185.0</v>
      </c>
      <c r="H30" s="23" t="s">
        <v>21</v>
      </c>
      <c r="I30" s="26"/>
      <c r="J30" s="24"/>
      <c r="K30" s="24">
        <v>2437.0299999999997</v>
      </c>
      <c r="L30" s="24">
        <v>1927.03</v>
      </c>
      <c r="M30" s="25">
        <v>4364.0599999999995</v>
      </c>
      <c r="O30" s="23" t="s">
        <v>21</v>
      </c>
      <c r="P30" s="24">
        <v>1848.5849761051375</v>
      </c>
      <c r="Q30" s="27">
        <v>2.0</v>
      </c>
    </row>
    <row r="31" ht="15.75" customHeight="1">
      <c r="A31" s="28" t="s">
        <v>22</v>
      </c>
      <c r="B31" s="24"/>
      <c r="C31" s="24">
        <v>22.0</v>
      </c>
      <c r="D31" s="24">
        <v>97.0</v>
      </c>
      <c r="E31" s="24">
        <v>99.0</v>
      </c>
      <c r="F31" s="25">
        <v>218.0</v>
      </c>
      <c r="H31" s="28" t="s">
        <v>22</v>
      </c>
      <c r="I31" s="26"/>
      <c r="J31" s="24">
        <v>404.72</v>
      </c>
      <c r="K31" s="24">
        <v>1513.54</v>
      </c>
      <c r="L31" s="24">
        <v>1750.7799999999995</v>
      </c>
      <c r="M31" s="25">
        <v>3669.0399999999995</v>
      </c>
      <c r="O31" s="28" t="s">
        <v>22</v>
      </c>
      <c r="P31" s="24">
        <v>2153.0577956989246</v>
      </c>
      <c r="Q31" s="27">
        <v>3.0</v>
      </c>
    </row>
    <row r="32" ht="15.75" customHeight="1">
      <c r="A32" s="23" t="s">
        <v>23</v>
      </c>
      <c r="B32" s="24">
        <v>54.0</v>
      </c>
      <c r="C32" s="24">
        <v>82.0</v>
      </c>
      <c r="D32" s="24">
        <v>86.0</v>
      </c>
      <c r="E32" s="24">
        <v>55.0</v>
      </c>
      <c r="F32" s="25">
        <v>277.0</v>
      </c>
      <c r="H32" s="23" t="s">
        <v>23</v>
      </c>
      <c r="I32" s="26">
        <v>950.0</v>
      </c>
      <c r="J32" s="24">
        <v>814.9799999999997</v>
      </c>
      <c r="K32" s="24">
        <v>841.0299999999999</v>
      </c>
      <c r="L32" s="24">
        <v>636.96</v>
      </c>
      <c r="M32" s="25">
        <v>3242.9699999999993</v>
      </c>
      <c r="O32" s="23" t="s">
        <v>23</v>
      </c>
      <c r="P32" s="24">
        <v>1196.143219832736</v>
      </c>
      <c r="Q32" s="27">
        <v>4.0</v>
      </c>
    </row>
    <row r="33" ht="15.75" customHeight="1">
      <c r="A33" s="23" t="s">
        <v>24</v>
      </c>
      <c r="B33" s="24"/>
      <c r="C33" s="24">
        <v>53.0</v>
      </c>
      <c r="D33" s="24">
        <v>97.0</v>
      </c>
      <c r="E33" s="24"/>
      <c r="F33" s="25">
        <v>150.0</v>
      </c>
      <c r="H33" s="23" t="s">
        <v>24</v>
      </c>
      <c r="I33" s="26"/>
      <c r="J33" s="24">
        <v>1091.1499999999999</v>
      </c>
      <c r="K33" s="24">
        <v>2009.11</v>
      </c>
      <c r="L33" s="24"/>
      <c r="M33" s="25">
        <v>3100.2599999999998</v>
      </c>
      <c r="O33" s="23" t="s">
        <v>24</v>
      </c>
      <c r="P33" s="24">
        <v>0.0</v>
      </c>
      <c r="Q33" s="27">
        <v>2.0</v>
      </c>
    </row>
    <row r="34" ht="15.75" customHeight="1">
      <c r="A34" s="23" t="s">
        <v>25</v>
      </c>
      <c r="B34" s="24"/>
      <c r="C34" s="24"/>
      <c r="D34" s="24"/>
      <c r="E34" s="24">
        <v>156.0</v>
      </c>
      <c r="F34" s="25">
        <v>156.0</v>
      </c>
      <c r="H34" s="23" t="s">
        <v>25</v>
      </c>
      <c r="I34" s="26"/>
      <c r="J34" s="24"/>
      <c r="K34" s="24"/>
      <c r="L34" s="24">
        <v>2847.9699999999993</v>
      </c>
      <c r="M34" s="25">
        <v>2847.9699999999993</v>
      </c>
      <c r="O34" s="23" t="s">
        <v>25</v>
      </c>
      <c r="P34" s="24">
        <v>3392.6971326164876</v>
      </c>
      <c r="Q34" s="27">
        <v>1.0</v>
      </c>
    </row>
    <row r="35" ht="15.75" customHeight="1">
      <c r="A35" s="23" t="s">
        <v>26</v>
      </c>
      <c r="B35" s="24"/>
      <c r="C35" s="24"/>
      <c r="D35" s="24">
        <v>123.0</v>
      </c>
      <c r="E35" s="24"/>
      <c r="F35" s="25">
        <v>123.0</v>
      </c>
      <c r="H35" s="23" t="s">
        <v>26</v>
      </c>
      <c r="I35" s="26"/>
      <c r="J35" s="24"/>
      <c r="K35" s="24">
        <v>2122.14</v>
      </c>
      <c r="L35" s="24"/>
      <c r="M35" s="25">
        <v>2122.14</v>
      </c>
      <c r="O35" s="23" t="s">
        <v>26</v>
      </c>
      <c r="P35" s="24">
        <v>0.0</v>
      </c>
      <c r="Q35" s="27">
        <v>1.0</v>
      </c>
    </row>
    <row r="36" ht="15.75" customHeight="1">
      <c r="A36" s="23" t="s">
        <v>27</v>
      </c>
      <c r="B36" s="24"/>
      <c r="C36" s="24"/>
      <c r="D36" s="24"/>
      <c r="E36" s="24">
        <v>96.0</v>
      </c>
      <c r="F36" s="25">
        <v>96.0</v>
      </c>
      <c r="H36" s="23" t="s">
        <v>27</v>
      </c>
      <c r="I36" s="26"/>
      <c r="J36" s="24"/>
      <c r="K36" s="24"/>
      <c r="L36" s="24">
        <v>1499.51</v>
      </c>
      <c r="M36" s="25">
        <v>1499.51</v>
      </c>
      <c r="O36" s="23" t="s">
        <v>27</v>
      </c>
      <c r="P36" s="24">
        <v>2087.8136200716845</v>
      </c>
      <c r="Q36" s="27">
        <v>1.0</v>
      </c>
    </row>
    <row r="37" ht="15.75" customHeight="1">
      <c r="A37" s="23" t="s">
        <v>28</v>
      </c>
      <c r="B37" s="24"/>
      <c r="C37" s="24"/>
      <c r="D37" s="24"/>
      <c r="E37" s="24">
        <v>71.0</v>
      </c>
      <c r="F37" s="25">
        <v>71.0</v>
      </c>
      <c r="H37" s="23" t="s">
        <v>28</v>
      </c>
      <c r="I37" s="26"/>
      <c r="J37" s="24"/>
      <c r="K37" s="24"/>
      <c r="L37" s="24">
        <v>1138.3999999999999</v>
      </c>
      <c r="M37" s="25">
        <v>1138.3999999999999</v>
      </c>
      <c r="O37" s="23" t="s">
        <v>28</v>
      </c>
      <c r="P37" s="24">
        <v>1544.1121565113503</v>
      </c>
      <c r="Q37" s="27">
        <v>1.0</v>
      </c>
    </row>
    <row r="38" ht="15.75" customHeight="1">
      <c r="A38" s="23" t="s">
        <v>29</v>
      </c>
      <c r="B38" s="24"/>
      <c r="C38" s="24">
        <v>21.0</v>
      </c>
      <c r="D38" s="24">
        <v>66.0</v>
      </c>
      <c r="E38" s="24">
        <v>19.0</v>
      </c>
      <c r="F38" s="25">
        <f>87+19</f>
        <v>106</v>
      </c>
      <c r="H38" s="23" t="s">
        <v>29</v>
      </c>
      <c r="I38" s="26"/>
      <c r="J38" s="24">
        <v>160.83</v>
      </c>
      <c r="K38" s="24">
        <v>878.46</v>
      </c>
      <c r="L38" s="24">
        <v>207.0</v>
      </c>
      <c r="M38" s="25">
        <f>1030+207</f>
        <v>1237</v>
      </c>
      <c r="O38" s="23" t="s">
        <v>29</v>
      </c>
      <c r="P38" s="24">
        <v>413.2131123058542</v>
      </c>
      <c r="Q38" s="27">
        <v>3.0</v>
      </c>
    </row>
    <row r="39" ht="15.75" customHeight="1">
      <c r="A39" s="23" t="s">
        <v>30</v>
      </c>
      <c r="B39" s="24"/>
      <c r="C39" s="24"/>
      <c r="D39" s="24"/>
      <c r="E39" s="24">
        <v>66.0</v>
      </c>
      <c r="F39" s="25">
        <v>66.0</v>
      </c>
      <c r="H39" s="23" t="s">
        <v>30</v>
      </c>
      <c r="I39" s="26"/>
      <c r="J39" s="24"/>
      <c r="K39" s="24"/>
      <c r="L39" s="24">
        <v>1026.3400000000001</v>
      </c>
      <c r="M39" s="25">
        <v>1026.3400000000001</v>
      </c>
      <c r="O39" s="23" t="s">
        <v>30</v>
      </c>
      <c r="P39" s="24">
        <v>1435.3718637992833</v>
      </c>
      <c r="Q39" s="27">
        <v>1.0</v>
      </c>
    </row>
    <row r="40" ht="15.75" customHeight="1">
      <c r="A40" s="23" t="s">
        <v>31</v>
      </c>
      <c r="B40" s="24"/>
      <c r="C40" s="24">
        <v>55.0</v>
      </c>
      <c r="D40" s="24"/>
      <c r="E40" s="24"/>
      <c r="F40" s="25">
        <v>55.0</v>
      </c>
      <c r="H40" s="23" t="s">
        <v>31</v>
      </c>
      <c r="I40" s="26"/>
      <c r="J40" s="24">
        <v>903.53</v>
      </c>
      <c r="K40" s="24"/>
      <c r="L40" s="24"/>
      <c r="M40" s="25">
        <v>903.53</v>
      </c>
      <c r="O40" s="23" t="s">
        <v>31</v>
      </c>
      <c r="P40" s="24">
        <v>0.0</v>
      </c>
      <c r="Q40" s="27">
        <v>1.0</v>
      </c>
    </row>
    <row r="41" ht="15.75" customHeight="1">
      <c r="A41" s="23" t="s">
        <v>32</v>
      </c>
      <c r="B41" s="24"/>
      <c r="C41" s="24"/>
      <c r="D41" s="24"/>
      <c r="E41" s="24">
        <v>43.0</v>
      </c>
      <c r="F41" s="25">
        <v>43.0</v>
      </c>
      <c r="H41" s="23" t="s">
        <v>32</v>
      </c>
      <c r="I41" s="26"/>
      <c r="J41" s="24"/>
      <c r="K41" s="24"/>
      <c r="L41" s="24">
        <v>541.23</v>
      </c>
      <c r="M41" s="25">
        <v>541.23</v>
      </c>
      <c r="O41" s="23" t="s">
        <v>32</v>
      </c>
      <c r="P41" s="24">
        <v>935.1665173237755</v>
      </c>
      <c r="Q41" s="27">
        <v>1.0</v>
      </c>
    </row>
    <row r="42" ht="15.75" customHeight="1">
      <c r="A42" s="23" t="s">
        <v>33</v>
      </c>
      <c r="B42" s="24"/>
      <c r="C42" s="24">
        <v>29.0</v>
      </c>
      <c r="D42" s="24">
        <v>10.0</v>
      </c>
      <c r="E42" s="24"/>
      <c r="F42" s="25">
        <v>39.0</v>
      </c>
      <c r="H42" s="23" t="s">
        <v>33</v>
      </c>
      <c r="I42" s="26"/>
      <c r="J42" s="24">
        <v>299.28000000000003</v>
      </c>
      <c r="K42" s="24">
        <v>120.74</v>
      </c>
      <c r="L42" s="24"/>
      <c r="M42" s="25">
        <v>420.02000000000004</v>
      </c>
      <c r="O42" s="23" t="s">
        <v>33</v>
      </c>
      <c r="P42" s="24">
        <v>0.0</v>
      </c>
      <c r="Q42" s="27">
        <v>2.0</v>
      </c>
    </row>
    <row r="43" ht="15.75" customHeight="1">
      <c r="A43" s="23" t="s">
        <v>34</v>
      </c>
      <c r="B43" s="24"/>
      <c r="C43" s="24"/>
      <c r="D43" s="24"/>
      <c r="E43" s="24">
        <v>22.0</v>
      </c>
      <c r="F43" s="25">
        <v>22.0</v>
      </c>
      <c r="H43" s="23" t="s">
        <v>34</v>
      </c>
      <c r="I43" s="26"/>
      <c r="J43" s="24"/>
      <c r="K43" s="24"/>
      <c r="L43" s="24">
        <v>326.07000000000005</v>
      </c>
      <c r="M43" s="25">
        <v>326.07000000000005</v>
      </c>
      <c r="O43" s="23" t="s">
        <v>34</v>
      </c>
      <c r="P43" s="24">
        <v>478.4572879330944</v>
      </c>
      <c r="Q43" s="27">
        <v>1.0</v>
      </c>
    </row>
    <row r="44" ht="15.75" customHeight="1">
      <c r="A44" s="23" t="s">
        <v>35</v>
      </c>
      <c r="B44" s="24"/>
      <c r="C44" s="24"/>
      <c r="D44" s="24"/>
      <c r="E44" s="24">
        <v>21.0</v>
      </c>
      <c r="F44" s="25">
        <v>21.0</v>
      </c>
      <c r="H44" s="23" t="s">
        <v>35</v>
      </c>
      <c r="I44" s="26"/>
      <c r="J44" s="24"/>
      <c r="K44" s="24"/>
      <c r="L44" s="24">
        <v>218.7</v>
      </c>
      <c r="M44" s="25">
        <v>218.7</v>
      </c>
      <c r="O44" s="23" t="s">
        <v>35</v>
      </c>
      <c r="P44" s="24">
        <v>456.709229390681</v>
      </c>
      <c r="Q44" s="27">
        <v>1.0</v>
      </c>
    </row>
    <row r="45" ht="15.75" customHeight="1">
      <c r="A45" s="23" t="s">
        <v>36</v>
      </c>
      <c r="B45" s="24"/>
      <c r="C45" s="24"/>
      <c r="D45" s="24">
        <v>8.0</v>
      </c>
      <c r="E45" s="24"/>
      <c r="F45" s="25">
        <v>8.0</v>
      </c>
      <c r="H45" s="23" t="s">
        <v>36</v>
      </c>
      <c r="I45" s="26"/>
      <c r="J45" s="24"/>
      <c r="K45" s="24">
        <v>193.0</v>
      </c>
      <c r="L45" s="24"/>
      <c r="M45" s="25">
        <v>193.0</v>
      </c>
      <c r="O45" s="23" t="s">
        <v>36</v>
      </c>
      <c r="P45" s="24">
        <v>0.0</v>
      </c>
      <c r="Q45" s="27">
        <v>1.0</v>
      </c>
    </row>
    <row r="46" ht="15.75" customHeight="1">
      <c r="A46" s="23" t="s">
        <v>37</v>
      </c>
      <c r="B46" s="24"/>
      <c r="C46" s="24"/>
      <c r="D46" s="24"/>
      <c r="E46" s="24">
        <v>11.0</v>
      </c>
      <c r="F46" s="25">
        <v>11.0</v>
      </c>
      <c r="H46" s="23" t="s">
        <v>37</v>
      </c>
      <c r="I46" s="26"/>
      <c r="J46" s="24"/>
      <c r="K46" s="24"/>
      <c r="L46" s="24">
        <v>169.19</v>
      </c>
      <c r="M46" s="25">
        <v>169.19</v>
      </c>
      <c r="O46" s="23" t="s">
        <v>37</v>
      </c>
      <c r="P46" s="24">
        <v>239.2286439665472</v>
      </c>
      <c r="Q46" s="27">
        <v>1.0</v>
      </c>
    </row>
    <row r="47" ht="15.75" customHeight="1">
      <c r="A47" s="23" t="s">
        <v>38</v>
      </c>
      <c r="B47" s="24"/>
      <c r="C47" s="24"/>
      <c r="D47" s="24"/>
      <c r="E47" s="24">
        <v>4.0</v>
      </c>
      <c r="F47" s="25">
        <v>4.0</v>
      </c>
      <c r="H47" s="23" t="s">
        <v>38</v>
      </c>
      <c r="I47" s="26"/>
      <c r="J47" s="24"/>
      <c r="K47" s="24"/>
      <c r="L47" s="24">
        <v>75.06</v>
      </c>
      <c r="M47" s="25">
        <v>75.06</v>
      </c>
      <c r="O47" s="23" t="s">
        <v>38</v>
      </c>
      <c r="P47" s="24">
        <v>86.99223416965351</v>
      </c>
      <c r="Q47" s="27">
        <v>1.0</v>
      </c>
    </row>
    <row r="48" ht="15.75" customHeight="1">
      <c r="A48" s="29" t="s">
        <v>39</v>
      </c>
      <c r="B48" s="30"/>
      <c r="C48" s="30"/>
      <c r="D48" s="30"/>
      <c r="E48" s="30">
        <v>0.0</v>
      </c>
      <c r="F48" s="31">
        <v>0.0</v>
      </c>
      <c r="H48" s="29" t="s">
        <v>39</v>
      </c>
      <c r="I48" s="32"/>
      <c r="J48" s="30"/>
      <c r="K48" s="30"/>
      <c r="L48" s="30">
        <v>0.0</v>
      </c>
      <c r="M48" s="31">
        <v>0.0</v>
      </c>
      <c r="O48" s="29" t="s">
        <v>39</v>
      </c>
      <c r="P48" s="30">
        <v>0.0</v>
      </c>
      <c r="Q48" s="33">
        <v>1.0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E2"/>
    <mergeCell ref="A7:E7"/>
    <mergeCell ref="A11:D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2025-01-13T18:26:03Z</dcterms:created>
  <dc:creator>Erika Smith</dc:creator>
</cp:coreProperties>
</file>